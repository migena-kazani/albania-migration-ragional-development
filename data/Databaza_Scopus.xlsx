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toratura\Punim per Scopus\"/>
    </mc:Choice>
  </mc:AlternateContent>
  <xr:revisionPtr revIDLastSave="0" documentId="13_ncr:1_{49EAC7C1-D4B7-4EA5-A26B-0635D6E2BA2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" i="1" l="1"/>
  <c r="T26" i="1"/>
  <c r="T25" i="1"/>
  <c r="T24" i="1"/>
  <c r="T27" i="1"/>
  <c r="T28" i="1"/>
  <c r="T29" i="1"/>
  <c r="T30" i="1"/>
  <c r="T31" i="1"/>
  <c r="T33" i="1"/>
  <c r="T34" i="1"/>
  <c r="T23" i="1"/>
  <c r="N23" i="1"/>
  <c r="N24" i="1"/>
  <c r="N25" i="1"/>
  <c r="N26" i="1"/>
  <c r="N27" i="1"/>
  <c r="N28" i="1"/>
  <c r="N29" i="1"/>
  <c r="N30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5" i="1"/>
  <c r="Z6" i="1"/>
  <c r="Z7" i="1"/>
  <c r="Z8" i="1"/>
  <c r="Z9" i="1"/>
  <c r="Z10" i="1"/>
  <c r="Z11" i="1"/>
  <c r="Z12" i="1"/>
  <c r="Z13" i="1"/>
  <c r="Z14" i="1"/>
  <c r="Z15" i="1"/>
  <c r="Z16" i="1"/>
  <c r="Z17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5" i="1"/>
  <c r="X6" i="1"/>
  <c r="X7" i="1"/>
  <c r="X8" i="1"/>
  <c r="X9" i="1"/>
  <c r="X10" i="1"/>
  <c r="X11" i="1"/>
  <c r="X12" i="1"/>
  <c r="X13" i="1"/>
  <c r="X14" i="1"/>
  <c r="X15" i="1"/>
  <c r="X16" i="1"/>
  <c r="X17" i="1"/>
  <c r="X5" i="1"/>
  <c r="W6" i="1"/>
  <c r="W7" i="1"/>
  <c r="W8" i="1"/>
  <c r="W9" i="1"/>
  <c r="W10" i="1"/>
  <c r="W11" i="1"/>
  <c r="W12" i="1"/>
  <c r="W13" i="1"/>
  <c r="W14" i="1"/>
  <c r="W15" i="1"/>
  <c r="W16" i="1"/>
  <c r="W17" i="1"/>
  <c r="W5" i="1"/>
  <c r="V6" i="1"/>
  <c r="V7" i="1"/>
  <c r="V8" i="1"/>
  <c r="V9" i="1"/>
  <c r="V10" i="1"/>
  <c r="V11" i="1"/>
  <c r="V12" i="1"/>
  <c r="V13" i="1"/>
  <c r="V14" i="1"/>
  <c r="V15" i="1"/>
  <c r="V16" i="1"/>
  <c r="V17" i="1"/>
  <c r="V5" i="1"/>
</calcChain>
</file>

<file path=xl/sharedStrings.xml><?xml version="1.0" encoding="utf-8"?>
<sst xmlns="http://schemas.openxmlformats.org/spreadsheetml/2006/main" count="1004" uniqueCount="336">
  <si>
    <t>Të ardhur</t>
  </si>
  <si>
    <t>Të larguar</t>
  </si>
  <si>
    <t>Gjithsej</t>
  </si>
  <si>
    <t>Berat</t>
  </si>
  <si>
    <t>Dibër</t>
  </si>
  <si>
    <t>Durrës</t>
  </si>
  <si>
    <t>Elbasan</t>
  </si>
  <si>
    <t>Fier</t>
  </si>
  <si>
    <t>Gjirokastër</t>
  </si>
  <si>
    <t>Korçë</t>
  </si>
  <si>
    <t>Kukës</t>
  </si>
  <si>
    <t>Lezhë</t>
  </si>
  <si>
    <t>Shkodër</t>
  </si>
  <si>
    <t>Tiranë</t>
  </si>
  <si>
    <t>Vlorë</t>
  </si>
  <si>
    <t>Migracioni Neto sipas qarqeve</t>
  </si>
  <si>
    <t>Shkalla e papunësisë</t>
  </si>
  <si>
    <t>9,4</t>
  </si>
  <si>
    <t>12,9</t>
  </si>
  <si>
    <t>8,3</t>
  </si>
  <si>
    <t>7,1</t>
  </si>
  <si>
    <t>8,0</t>
  </si>
  <si>
    <t>6,5</t>
  </si>
  <si>
    <t>6,4</t>
  </si>
  <si>
    <t>3,1</t>
  </si>
  <si>
    <t>5,6</t>
  </si>
  <si>
    <t>8,2</t>
  </si>
  <si>
    <t>7,4</t>
  </si>
  <si>
    <t>5,9</t>
  </si>
  <si>
    <t>10,1</t>
  </si>
  <si>
    <t>9,1</t>
  </si>
  <si>
    <t>11,9</t>
  </si>
  <si>
    <t>17,8</t>
  </si>
  <si>
    <t>16,5</t>
  </si>
  <si>
    <t>12,3</t>
  </si>
  <si>
    <t>14,9</t>
  </si>
  <si>
    <t>12,0</t>
  </si>
  <si>
    <t>13,8</t>
  </si>
  <si>
    <t>14,7</t>
  </si>
  <si>
    <t>13,1</t>
  </si>
  <si>
    <t>16,1</t>
  </si>
  <si>
    <t>13,3</t>
  </si>
  <si>
    <t>6,3</t>
  </si>
  <si>
    <t>7,3</t>
  </si>
  <si>
    <t>13,2</t>
  </si>
  <si>
    <t>9,7</t>
  </si>
  <si>
    <t>6,6</t>
  </si>
  <si>
    <t>5,4</t>
  </si>
  <si>
    <t>6,9</t>
  </si>
  <si>
    <t>15,9</t>
  </si>
  <si>
    <t>13,6</t>
  </si>
  <si>
    <t>13,0</t>
  </si>
  <si>
    <t>13,9</t>
  </si>
  <si>
    <t>9,5</t>
  </si>
  <si>
    <t>8,4</t>
  </si>
  <si>
    <t>8,7</t>
  </si>
  <si>
    <t>7,8</t>
  </si>
  <si>
    <t>4,7</t>
  </si>
  <si>
    <t>13,5</t>
  </si>
  <si>
    <t>12,2</t>
  </si>
  <si>
    <t>7,7</t>
  </si>
  <si>
    <t>5,7</t>
  </si>
  <si>
    <t>3,5</t>
  </si>
  <si>
    <t>5,3</t>
  </si>
  <si>
    <t>3,0</t>
  </si>
  <si>
    <t>8,8</t>
  </si>
  <si>
    <t>7,6</t>
  </si>
  <si>
    <t>7,5</t>
  </si>
  <si>
    <t>9,6</t>
  </si>
  <si>
    <t>16,9</t>
  </si>
  <si>
    <t>13,7</t>
  </si>
  <si>
    <t>7,2</t>
  </si>
  <si>
    <t>6,0</t>
  </si>
  <si>
    <t>4,0</t>
  </si>
  <si>
    <t>4,9</t>
  </si>
  <si>
    <t>8,1</t>
  </si>
  <si>
    <t>15,0</t>
  </si>
  <si>
    <t>16,6</t>
  </si>
  <si>
    <t>19,2</t>
  </si>
  <si>
    <t>17,7</t>
  </si>
  <si>
    <t>22,2</t>
  </si>
  <si>
    <t>22,6</t>
  </si>
  <si>
    <t>22,7</t>
  </si>
  <si>
    <t>19,6</t>
  </si>
  <si>
    <t>12,8</t>
  </si>
  <si>
    <t>12,5</t>
  </si>
  <si>
    <t>14,5</t>
  </si>
  <si>
    <t>12,1</t>
  </si>
  <si>
    <t>19,7</t>
  </si>
  <si>
    <t>16,7</t>
  </si>
  <si>
    <t>16,0</t>
  </si>
  <si>
    <t>11,8</t>
  </si>
  <si>
    <t>10,7</t>
  </si>
  <si>
    <t>24,7</t>
  </si>
  <si>
    <t>23,9</t>
  </si>
  <si>
    <t>21,9</t>
  </si>
  <si>
    <t>15,2</t>
  </si>
  <si>
    <t>19,5</t>
  </si>
  <si>
    <t>15,3</t>
  </si>
  <si>
    <t>Indikator</t>
  </si>
  <si>
    <t>Përbërja moshore: të moshuar (65 vjeç +)</t>
  </si>
  <si>
    <t>28,9</t>
  </si>
  <si>
    <t>18,1</t>
  </si>
  <si>
    <t>23,6</t>
  </si>
  <si>
    <t>27,9</t>
  </si>
  <si>
    <t>21,0</t>
  </si>
  <si>
    <t>16,2</t>
  </si>
  <si>
    <t>26,2</t>
  </si>
  <si>
    <t>Popullsia banuese</t>
  </si>
  <si>
    <t>65+</t>
  </si>
  <si>
    <t>Produkti i Brëndshëm Bruto për frymë, në Euro</t>
  </si>
  <si>
    <t>AL0 Republika e Shqipërisë</t>
  </si>
  <si>
    <t>9.046,4921</t>
  </si>
  <si>
    <t>AL011 Dibër</t>
  </si>
  <si>
    <t>5.470,2107</t>
  </si>
  <si>
    <t>AL012 Durrës</t>
  </si>
  <si>
    <t>9.979,5664</t>
  </si>
  <si>
    <t>AL013 Kukës</t>
  </si>
  <si>
    <t>5.048,7101</t>
  </si>
  <si>
    <t>AL014 Lezhë</t>
  </si>
  <si>
    <t>6.374,2817</t>
  </si>
  <si>
    <t>AL015 Shkodër</t>
  </si>
  <si>
    <t>7.087,7734</t>
  </si>
  <si>
    <t>AL021 Elbasan</t>
  </si>
  <si>
    <t>5.995,8213</t>
  </si>
  <si>
    <t>AL022 Tiranë</t>
  </si>
  <si>
    <t>12.565,8828</t>
  </si>
  <si>
    <t>AL031 Berat</t>
  </si>
  <si>
    <t>5.502,2932</t>
  </si>
  <si>
    <t>AL032 Fier</t>
  </si>
  <si>
    <t>9.573,0409</t>
  </si>
  <si>
    <t>AL033 Gjirokastër</t>
  </si>
  <si>
    <t>7.853,0938</t>
  </si>
  <si>
    <t>AL034 Korçë</t>
  </si>
  <si>
    <t>6.088,9770</t>
  </si>
  <si>
    <t>AL035 Vlorë</t>
  </si>
  <si>
    <t>8.938,7402</t>
  </si>
  <si>
    <t>Gross Value Added in million ALL</t>
  </si>
  <si>
    <t>Urban</t>
  </si>
  <si>
    <t>Total</t>
  </si>
  <si>
    <t>mbi 65 vjec</t>
  </si>
  <si>
    <t>Indeksi i moshës së vjetër (pop 65 e sipër/pop gjithsej)</t>
  </si>
  <si>
    <t>0,12</t>
  </si>
  <si>
    <t>0,09</t>
  </si>
  <si>
    <t>0,11</t>
  </si>
  <si>
    <t>0,10</t>
  </si>
  <si>
    <t>0,16</t>
  </si>
  <si>
    <t>0,14</t>
  </si>
  <si>
    <t>0,08</t>
  </si>
  <si>
    <t/>
  </si>
  <si>
    <t>Model Summary</t>
  </si>
  <si>
    <t>Model</t>
  </si>
  <si>
    <t>R</t>
  </si>
  <si>
    <t>R Square</t>
  </si>
  <si>
    <t>Adjusted R Square</t>
  </si>
  <si>
    <t>Std. Error of the Estimate</t>
  </si>
  <si>
    <t>1</t>
  </si>
  <si>
    <r>
      <t>.845</t>
    </r>
    <r>
      <rPr>
        <vertAlign val="superscript"/>
        <sz val="9"/>
        <color indexed="60"/>
        <rFont val="Arial"/>
        <family val="2"/>
      </rPr>
      <t>a</t>
    </r>
  </si>
  <si>
    <t>a. Predictors: (Constant), Unemployment rate by region, GDP by region</t>
  </si>
  <si>
    <t>Sum of Squares</t>
  </si>
  <si>
    <t>df</t>
  </si>
  <si>
    <t>Mean Square</t>
  </si>
  <si>
    <t>F</t>
  </si>
  <si>
    <t>Sig.</t>
  </si>
  <si>
    <t>Regression</t>
  </si>
  <si>
    <t>Residual</t>
  </si>
  <si>
    <r>
      <t>ANOVA</t>
    </r>
    <r>
      <rPr>
        <b/>
        <vertAlign val="superscript"/>
        <sz val="11"/>
        <color indexed="60"/>
        <rFont val="Arial Bold"/>
      </rPr>
      <t>a</t>
    </r>
  </si>
  <si>
    <r>
      <t>.000</t>
    </r>
    <r>
      <rPr>
        <vertAlign val="superscript"/>
        <sz val="9"/>
        <color indexed="60"/>
        <rFont val="Arial"/>
        <family val="2"/>
      </rPr>
      <t>b</t>
    </r>
  </si>
  <si>
    <t>b. Predictors: (Constant), Unemployment rate by region, GDP by region</t>
  </si>
  <si>
    <t>a. Dependent Variable: Net migration by region</t>
  </si>
  <si>
    <t>Unstandardized Coefficients</t>
  </si>
  <si>
    <t>Standardized Coefficients</t>
  </si>
  <si>
    <t>t</t>
  </si>
  <si>
    <t>B</t>
  </si>
  <si>
    <t>Std. Error</t>
  </si>
  <si>
    <t>Beta</t>
  </si>
  <si>
    <t>(Constant)</t>
  </si>
  <si>
    <t>GDP sipas qarkut</t>
  </si>
  <si>
    <t>Shkalla e papunesise sipas qarqeve</t>
  </si>
  <si>
    <r>
      <t>Coefficients</t>
    </r>
    <r>
      <rPr>
        <b/>
        <vertAlign val="superscript"/>
        <sz val="11"/>
        <color indexed="60"/>
        <rFont val="Arial Bold"/>
      </rPr>
      <t>a</t>
    </r>
  </si>
  <si>
    <t>Correlations</t>
  </si>
  <si>
    <t>Migrimi neto sipas qarqeve</t>
  </si>
  <si>
    <t>Pearson Correlation</t>
  </si>
  <si>
    <t>.828**</t>
  </si>
  <si>
    <t>.279**</t>
  </si>
  <si>
    <t>Sig. (2-tailed)</t>
  </si>
  <si>
    <t>N</t>
  </si>
  <si>
    <t>** Correlation is significant at the 0.01 level (2-tailed).</t>
  </si>
  <si>
    <t>**. Correlation is significant at the 0.01 level (2-tailed).</t>
  </si>
  <si>
    <r>
      <t>.828</t>
    </r>
    <r>
      <rPr>
        <vertAlign val="superscript"/>
        <sz val="9"/>
        <color indexed="60"/>
        <rFont val="Arial"/>
        <family val="2"/>
      </rPr>
      <t>**</t>
    </r>
  </si>
  <si>
    <r>
      <t>.279</t>
    </r>
    <r>
      <rPr>
        <vertAlign val="superscript"/>
        <sz val="9"/>
        <color indexed="60"/>
        <rFont val="Arial"/>
        <family val="2"/>
      </rPr>
      <t>**</t>
    </r>
  </si>
  <si>
    <t>Net migration by region</t>
  </si>
  <si>
    <t>GDP by region</t>
  </si>
  <si>
    <t>Unemployment rate by region</t>
  </si>
  <si>
    <r>
      <t>.859</t>
    </r>
    <r>
      <rPr>
        <vertAlign val="superscript"/>
        <sz val="9"/>
        <color indexed="60"/>
        <rFont val="Arial"/>
        <family val="2"/>
      </rPr>
      <t>**</t>
    </r>
  </si>
  <si>
    <r>
      <t>.787</t>
    </r>
    <r>
      <rPr>
        <vertAlign val="superscript"/>
        <sz val="9"/>
        <color indexed="60"/>
        <rFont val="Arial"/>
        <family val="2"/>
      </rPr>
      <t>**</t>
    </r>
  </si>
  <si>
    <r>
      <t>.959</t>
    </r>
    <r>
      <rPr>
        <vertAlign val="superscript"/>
        <sz val="9"/>
        <color indexed="60"/>
        <rFont val="Arial"/>
        <family val="2"/>
      </rPr>
      <t>**</t>
    </r>
  </si>
  <si>
    <r>
      <t>.811</t>
    </r>
    <r>
      <rPr>
        <vertAlign val="superscript"/>
        <sz val="9"/>
        <color indexed="60"/>
        <rFont val="Arial"/>
        <family val="2"/>
      </rPr>
      <t>**</t>
    </r>
  </si>
  <si>
    <r>
      <t>.799</t>
    </r>
    <r>
      <rPr>
        <vertAlign val="superscript"/>
        <sz val="9"/>
        <color indexed="60"/>
        <rFont val="Arial"/>
        <family val="2"/>
      </rPr>
      <t>**</t>
    </r>
  </si>
  <si>
    <t>Resident population 65+ by region</t>
  </si>
  <si>
    <t xml:space="preserve">GDP per capita by region </t>
  </si>
  <si>
    <t>ANOVA</t>
  </si>
  <si>
    <t>Between Groups</t>
  </si>
  <si>
    <t>Within Groups</t>
  </si>
  <si>
    <t>Statistics</t>
  </si>
  <si>
    <t>Valid</t>
  </si>
  <si>
    <t>Missing</t>
  </si>
  <si>
    <t>Mean</t>
  </si>
  <si>
    <t>Median</t>
  </si>
  <si>
    <t>Mode</t>
  </si>
  <si>
    <t>Std. Deviation</t>
  </si>
  <si>
    <t>Minimum</t>
  </si>
  <si>
    <t>Maximum</t>
  </si>
  <si>
    <t>Diber</t>
  </si>
  <si>
    <t>Durres</t>
  </si>
  <si>
    <t>Gjirokaster</t>
  </si>
  <si>
    <t>Korce</t>
  </si>
  <si>
    <t>Kukes</t>
  </si>
  <si>
    <t>Lezhe</t>
  </si>
  <si>
    <t>Shkoder</t>
  </si>
  <si>
    <t>Tirane</t>
  </si>
  <si>
    <t>Vlore</t>
  </si>
  <si>
    <t>a. Multiple modes exist. The smallest value is shown</t>
  </si>
  <si>
    <r>
      <t>-3563</t>
    </r>
    <r>
      <rPr>
        <vertAlign val="superscript"/>
        <sz val="9"/>
        <color indexed="60"/>
        <rFont val="Arial"/>
        <family val="2"/>
      </rPr>
      <t>a</t>
    </r>
  </si>
  <si>
    <r>
      <t>-4157</t>
    </r>
    <r>
      <rPr>
        <vertAlign val="superscript"/>
        <sz val="9"/>
        <color indexed="60"/>
        <rFont val="Arial"/>
        <family val="2"/>
      </rPr>
      <t>a</t>
    </r>
  </si>
  <si>
    <r>
      <t>816</t>
    </r>
    <r>
      <rPr>
        <vertAlign val="superscript"/>
        <sz val="9"/>
        <color indexed="60"/>
        <rFont val="Arial"/>
        <family val="2"/>
      </rPr>
      <t>a</t>
    </r>
  </si>
  <si>
    <r>
      <t>-2790</t>
    </r>
    <r>
      <rPr>
        <vertAlign val="superscript"/>
        <sz val="9"/>
        <color indexed="60"/>
        <rFont val="Arial"/>
        <family val="2"/>
      </rPr>
      <t>a</t>
    </r>
  </si>
  <si>
    <r>
      <t>-2002</t>
    </r>
    <r>
      <rPr>
        <vertAlign val="superscript"/>
        <sz val="9"/>
        <color indexed="60"/>
        <rFont val="Arial"/>
        <family val="2"/>
      </rPr>
      <t>a</t>
    </r>
  </si>
  <si>
    <r>
      <t>-2210</t>
    </r>
    <r>
      <rPr>
        <vertAlign val="superscript"/>
        <sz val="9"/>
        <color indexed="60"/>
        <rFont val="Arial"/>
        <family val="2"/>
      </rPr>
      <t>a</t>
    </r>
  </si>
  <si>
    <r>
      <t>-2809</t>
    </r>
    <r>
      <rPr>
        <vertAlign val="superscript"/>
        <sz val="9"/>
        <color indexed="60"/>
        <rFont val="Arial"/>
        <family val="2"/>
      </rPr>
      <t>a</t>
    </r>
  </si>
  <si>
    <r>
      <t>-2021</t>
    </r>
    <r>
      <rPr>
        <vertAlign val="superscript"/>
        <sz val="9"/>
        <color indexed="60"/>
        <rFont val="Arial"/>
        <family val="2"/>
      </rPr>
      <t>a</t>
    </r>
  </si>
  <si>
    <r>
      <t>-934</t>
    </r>
    <r>
      <rPr>
        <vertAlign val="superscript"/>
        <sz val="9"/>
        <color indexed="60"/>
        <rFont val="Arial"/>
        <family val="2"/>
      </rPr>
      <t>a</t>
    </r>
  </si>
  <si>
    <r>
      <t>-1288</t>
    </r>
    <r>
      <rPr>
        <vertAlign val="superscript"/>
        <sz val="9"/>
        <color indexed="60"/>
        <rFont val="Arial"/>
        <family val="2"/>
      </rPr>
      <t>a</t>
    </r>
  </si>
  <si>
    <r>
      <t>6112</t>
    </r>
    <r>
      <rPr>
        <vertAlign val="superscript"/>
        <sz val="9"/>
        <color indexed="60"/>
        <rFont val="Arial"/>
        <family val="2"/>
      </rPr>
      <t>a</t>
    </r>
  </si>
  <si>
    <r>
      <t>-191</t>
    </r>
    <r>
      <rPr>
        <vertAlign val="superscript"/>
        <sz val="9"/>
        <color indexed="60"/>
        <rFont val="Arial"/>
        <family val="2"/>
      </rPr>
      <t>a</t>
    </r>
  </si>
  <si>
    <t>Mean_Net migration by region</t>
  </si>
  <si>
    <t>Region</t>
  </si>
  <si>
    <t>Mean_Unemployment rate by region</t>
  </si>
  <si>
    <t>Mean_GDP by region</t>
  </si>
  <si>
    <t>Albania</t>
  </si>
  <si>
    <t>ALB</t>
  </si>
  <si>
    <t>Net migration</t>
  </si>
  <si>
    <t>SM.POP.NETM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</si>
  <si>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</si>
  <si>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</si>
  <si>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</si>
  <si>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</si>
  <si>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</si>
  <si>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</si>
  <si>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</si>
  <si>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</si>
  <si>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</si>
  <si>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</si>
  <si>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</si>
  <si>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</si>
  <si>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</si>
  <si>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</si>
  <si>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</si>
  <si>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</si>
  <si>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</si>
  <si>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</si>
  <si>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</si>
  <si>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</si>
  <si>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</si>
  <si>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</si>
  <si>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</si>
  <si>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</si>
  <si>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</si>
  <si>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</si>
  <si>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</si>
  <si>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</si>
  <si>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</si>
  <si>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</si>
  <si>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</si>
  <si>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</si>
  <si>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</si>
  <si>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</si>
  <si>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</si>
  <si>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</si>
  <si>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</si>
  <si>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</si>
  <si>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</si>
  <si>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</si>
  <si>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</si>
  <si>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</si>
  <si>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</si>
  <si>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</si>
  <si>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</si>
  <si>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</si>
  <si>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</si>
  <si>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</si>
  <si>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</si>
  <si>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</si>
  <si>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</si>
  <si>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</si>
  <si>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</si>
  <si>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</si>
  <si>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</si>
  <si>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</si>
  <si>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</si>
  <si>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</si>
  <si>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</si>
  <si>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</si>
  <si>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</si>
  <si>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</si>
  <si>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</si>
  <si>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</si>
  <si>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</si>
  <si>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</si>
  <si>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</si>
  <si>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</si>
  <si>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</si>
  <si>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GDP per capita (current LCU)</t>
  </si>
  <si>
    <t>NY.GDP.PCAP.CN</t>
  </si>
  <si>
    <t>GDP per capita (constant LCU)</t>
  </si>
  <si>
    <t>NY.GDP.PCAP.KN</t>
  </si>
  <si>
    <t>GDP per capita (current US$)</t>
  </si>
  <si>
    <t>NY.GDP.PCAP.CD</t>
  </si>
  <si>
    <t>Unemployment, total (% of total labor force) (national estimate)</t>
  </si>
  <si>
    <t>SL.UEM.TOTL.NE.ZS</t>
  </si>
  <si>
    <t>Personal remittances, received (% of GDP)</t>
  </si>
  <si>
    <t>BX.TRF.PWKR.DT.GD.ZS</t>
  </si>
  <si>
    <t>Adjusted net national income per capita (annual % growth)</t>
  </si>
  <si>
    <t>NY.ADJ.NNTY.PC.KD.ZG</t>
  </si>
  <si>
    <t>Urban population (% of total population)</t>
  </si>
  <si>
    <t>SP.URB.TOTL.IN.ZS</t>
  </si>
  <si>
    <t>Urban population</t>
  </si>
  <si>
    <t>SP.URB.TOTL</t>
  </si>
  <si>
    <t>Logistics performance index: Quality of trade and transport-related infrastructure (1=low to 5=high)</t>
  </si>
  <si>
    <t>LP.LPI.INFR.XQ</t>
  </si>
  <si>
    <t>Foreign direct investment, net inflows (BoP, current US$)</t>
  </si>
  <si>
    <t>BX.KLT.DINV.CD.WD</t>
  </si>
  <si>
    <t>Adjusted savings: education expenditure (current US$)</t>
  </si>
  <si>
    <t>NY.ADJ.AEDU.CD</t>
  </si>
  <si>
    <t>Government expenditure on education, total (% of GDP)</t>
  </si>
  <si>
    <t>SE.XPD.TOTL.GD.ZS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</si>
</sst>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##0.000"/>
    <numFmt numFmtId="166" formatCode="###0"/>
    <numFmt numFmtId="167" formatCode="###0.00"/>
    <numFmt numFmtId="168" formatCode="###0.0000"/>
    <numFmt numFmtId="169" formatCode="###0.0"/>
    <numFmt numFmtId="170" formatCode="###0.00000"/>
  </numFmts>
  <fonts count="14">
    <font>
      <sz val="11"/>
      <color theme="1"/>
      <name val="Calibri"/>
      <family val="2"/>
      <scheme val="minor"/>
    </font>
    <font>
      <b/>
      <sz val="11"/>
      <color rgb="FF000000"/>
      <name val="Inherit"/>
    </font>
    <font>
      <b/>
      <sz val="11"/>
      <color rgb="FF222222"/>
      <name val="Inherit"/>
    </font>
    <font>
      <sz val="11"/>
      <color rgb="FF222222"/>
      <name val="Inherit"/>
    </font>
    <font>
      <sz val="11"/>
      <color rgb="FF000000"/>
      <name val="Inherit"/>
    </font>
    <font>
      <b/>
      <sz val="11"/>
      <color theme="1"/>
      <name val="Inherit"/>
    </font>
    <font>
      <sz val="11"/>
      <color theme="1"/>
      <name val="Inherit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vertAlign val="superscript"/>
      <sz val="9"/>
      <color indexed="60"/>
      <name val="Arial"/>
      <family val="2"/>
    </font>
    <font>
      <sz val="9"/>
      <color indexed="60"/>
      <name val="Arial"/>
      <family val="2"/>
    </font>
    <font>
      <b/>
      <vertAlign val="superscript"/>
      <sz val="11"/>
      <color indexed="60"/>
      <name val="Arial Bold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7F6"/>
        <bgColor indexed="64"/>
      </patternFill>
    </fill>
    <fill>
      <patternFill patternType="solid">
        <fgColor rgb="FFE9F2F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medium">
        <color rgb="FF949494"/>
      </left>
      <right style="medium">
        <color rgb="FF949494"/>
      </right>
      <top style="medium">
        <color rgb="FF949494"/>
      </top>
      <bottom style="medium">
        <color rgb="FF949494"/>
      </bottom>
      <diagonal/>
    </border>
    <border>
      <left style="medium">
        <color rgb="FF949494"/>
      </left>
      <right/>
      <top style="medium">
        <color rgb="FF949494"/>
      </top>
      <bottom style="medium">
        <color rgb="FF949494"/>
      </bottom>
      <diagonal/>
    </border>
    <border>
      <left/>
      <right style="medium">
        <color rgb="FF949494"/>
      </right>
      <top style="medium">
        <color rgb="FF949494"/>
      </top>
      <bottom style="medium">
        <color rgb="FF949494"/>
      </bottom>
      <diagonal/>
    </border>
    <border>
      <left/>
      <right style="medium">
        <color rgb="FF949494"/>
      </right>
      <top/>
      <bottom/>
      <diagonal/>
    </border>
    <border>
      <left style="medium">
        <color rgb="FF949494"/>
      </left>
      <right/>
      <top/>
      <bottom style="medium">
        <color rgb="FF949494"/>
      </bottom>
      <diagonal/>
    </border>
    <border>
      <left/>
      <right/>
      <top/>
      <bottom style="medium">
        <color rgb="FF949494"/>
      </bottom>
      <diagonal/>
    </border>
    <border>
      <left/>
      <right style="medium">
        <color rgb="FF949494"/>
      </right>
      <top/>
      <bottom style="medium">
        <color rgb="FF949494"/>
      </bottom>
      <diagonal/>
    </border>
    <border>
      <left/>
      <right style="medium">
        <color rgb="FF949494"/>
      </right>
      <top style="medium">
        <color rgb="FF949494"/>
      </top>
      <bottom style="medium">
        <color rgb="FFA9A9A9"/>
      </bottom>
      <diagonal/>
    </border>
    <border>
      <left style="medium">
        <color rgb="FF949494"/>
      </left>
      <right style="medium">
        <color rgb="FF949494"/>
      </right>
      <top style="medium">
        <color rgb="FF949494"/>
      </top>
      <bottom style="medium">
        <color rgb="FFA9A9A9"/>
      </bottom>
      <diagonal/>
    </border>
    <border>
      <left style="medium">
        <color rgb="FF949494"/>
      </left>
      <right/>
      <top style="medium">
        <color rgb="FF949494"/>
      </top>
      <bottom style="medium">
        <color rgb="FFA9A9A9"/>
      </bottom>
      <diagonal/>
    </border>
    <border>
      <left style="medium">
        <color rgb="FF94949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/>
      <top style="thin">
        <color indexed="63"/>
      </top>
      <bottom style="thin">
        <color indexed="61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0" borderId="0"/>
  </cellStyleXfs>
  <cellXfs count="8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 indent="1"/>
    </xf>
    <xf numFmtId="0" fontId="6" fillId="3" borderId="8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8" xfId="0" applyFont="1" applyFill="1" applyBorder="1" applyAlignment="1">
      <alignment horizontal="left" vertical="center" wrapText="1" indent="1"/>
    </xf>
    <xf numFmtId="0" fontId="6" fillId="3" borderId="8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4" fontId="4" fillId="2" borderId="9" xfId="0" applyNumberFormat="1" applyFont="1" applyFill="1" applyBorder="1" applyAlignment="1">
      <alignment horizontal="right" vertical="center"/>
    </xf>
    <xf numFmtId="4" fontId="4" fillId="2" borderId="10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 wrapText="1"/>
    </xf>
    <xf numFmtId="9" fontId="4" fillId="2" borderId="2" xfId="1" applyFont="1" applyFill="1" applyBorder="1" applyAlignment="1">
      <alignment horizontal="right" vertical="center"/>
    </xf>
    <xf numFmtId="9" fontId="4" fillId="4" borderId="10" xfId="1" applyFont="1" applyFill="1" applyBorder="1" applyAlignment="1">
      <alignment horizontal="right" vertical="center"/>
    </xf>
    <xf numFmtId="164" fontId="0" fillId="0" borderId="0" xfId="0" applyNumberFormat="1"/>
    <xf numFmtId="2" fontId="0" fillId="0" borderId="0" xfId="0" applyNumberFormat="1"/>
    <xf numFmtId="0" fontId="8" fillId="0" borderId="0" xfId="2"/>
    <xf numFmtId="0" fontId="10" fillId="0" borderId="12" xfId="2" applyFont="1" applyBorder="1" applyAlignment="1">
      <alignment horizontal="left" wrapText="1"/>
    </xf>
    <xf numFmtId="0" fontId="10" fillId="0" borderId="12" xfId="2" applyFont="1" applyBorder="1" applyAlignment="1">
      <alignment horizontal="center" wrapText="1"/>
    </xf>
    <xf numFmtId="0" fontId="10" fillId="5" borderId="12" xfId="2" applyFont="1" applyFill="1" applyBorder="1" applyAlignment="1">
      <alignment horizontal="left" vertical="top"/>
    </xf>
    <xf numFmtId="0" fontId="12" fillId="6" borderId="12" xfId="2" applyFont="1" applyFill="1" applyBorder="1" applyAlignment="1">
      <alignment horizontal="right" vertical="top"/>
    </xf>
    <xf numFmtId="165" fontId="12" fillId="6" borderId="12" xfId="2" applyNumberFormat="1" applyFont="1" applyFill="1" applyBorder="1" applyAlignment="1">
      <alignment horizontal="right" vertical="top"/>
    </xf>
    <xf numFmtId="0" fontId="10" fillId="5" borderId="12" xfId="2" applyFont="1" applyFill="1" applyBorder="1" applyAlignment="1">
      <alignment horizontal="left" vertical="top" wrapText="1"/>
    </xf>
    <xf numFmtId="166" fontId="12" fillId="6" borderId="12" xfId="2" applyNumberFormat="1" applyFont="1" applyFill="1" applyBorder="1" applyAlignment="1">
      <alignment horizontal="right" vertical="top"/>
    </xf>
    <xf numFmtId="0" fontId="12" fillId="6" borderId="12" xfId="2" applyFont="1" applyFill="1" applyBorder="1" applyAlignment="1">
      <alignment horizontal="left" vertical="top" wrapText="1"/>
    </xf>
    <xf numFmtId="0" fontId="8" fillId="0" borderId="12" xfId="2" applyBorder="1"/>
    <xf numFmtId="0" fontId="0" fillId="0" borderId="12" xfId="0" applyBorder="1"/>
    <xf numFmtId="0" fontId="10" fillId="5" borderId="13" xfId="2" applyFont="1" applyFill="1" applyBorder="1" applyAlignment="1">
      <alignment horizontal="left" vertical="top" wrapText="1"/>
    </xf>
    <xf numFmtId="166" fontId="12" fillId="6" borderId="13" xfId="2" applyNumberFormat="1" applyFont="1" applyFill="1" applyBorder="1" applyAlignment="1">
      <alignment horizontal="right" vertical="top"/>
    </xf>
    <xf numFmtId="0" fontId="10" fillId="5" borderId="15" xfId="2" applyFont="1" applyFill="1" applyBorder="1" applyAlignment="1">
      <alignment horizontal="left" vertical="top" wrapText="1"/>
    </xf>
    <xf numFmtId="166" fontId="12" fillId="6" borderId="15" xfId="2" applyNumberFormat="1" applyFont="1" applyFill="1" applyBorder="1" applyAlignment="1">
      <alignment horizontal="right" vertical="top"/>
    </xf>
    <xf numFmtId="167" fontId="12" fillId="6" borderId="15" xfId="2" applyNumberFormat="1" applyFont="1" applyFill="1" applyBorder="1" applyAlignment="1">
      <alignment horizontal="right" vertical="top"/>
    </xf>
    <xf numFmtId="0" fontId="12" fillId="6" borderId="15" xfId="2" applyFont="1" applyFill="1" applyBorder="1" applyAlignment="1">
      <alignment horizontal="right" vertical="top"/>
    </xf>
    <xf numFmtId="165" fontId="12" fillId="6" borderId="15" xfId="2" applyNumberFormat="1" applyFont="1" applyFill="1" applyBorder="1" applyAlignment="1">
      <alignment horizontal="right" vertical="top"/>
    </xf>
    <xf numFmtId="0" fontId="10" fillId="5" borderId="14" xfId="2" applyFont="1" applyFill="1" applyBorder="1" applyAlignment="1">
      <alignment horizontal="left" vertical="top" wrapText="1"/>
    </xf>
    <xf numFmtId="166" fontId="12" fillId="6" borderId="14" xfId="2" applyNumberFormat="1" applyFont="1" applyFill="1" applyBorder="1" applyAlignment="1">
      <alignment horizontal="right" vertical="top"/>
    </xf>
    <xf numFmtId="166" fontId="12" fillId="6" borderId="16" xfId="2" applyNumberFormat="1" applyFont="1" applyFill="1" applyBorder="1" applyAlignment="1">
      <alignment horizontal="right" vertical="top"/>
    </xf>
    <xf numFmtId="0" fontId="0" fillId="0" borderId="12" xfId="0" applyBorder="1" applyAlignment="1">
      <alignment wrapText="1"/>
    </xf>
    <xf numFmtId="0" fontId="3" fillId="3" borderId="12" xfId="0" applyFont="1" applyFill="1" applyBorder="1" applyAlignment="1">
      <alignment horizontal="left" vertical="center" wrapText="1"/>
    </xf>
    <xf numFmtId="167" fontId="12" fillId="6" borderId="12" xfId="2" applyNumberFormat="1" applyFont="1" applyFill="1" applyBorder="1" applyAlignment="1">
      <alignment horizontal="right" vertical="top"/>
    </xf>
    <xf numFmtId="168" fontId="12" fillId="6" borderId="15" xfId="2" applyNumberFormat="1" applyFont="1" applyFill="1" applyBorder="1" applyAlignment="1">
      <alignment horizontal="right" vertical="top"/>
    </xf>
    <xf numFmtId="169" fontId="12" fillId="6" borderId="15" xfId="2" applyNumberFormat="1" applyFont="1" applyFill="1" applyBorder="1" applyAlignment="1">
      <alignment horizontal="right" vertical="top"/>
    </xf>
    <xf numFmtId="169" fontId="12" fillId="6" borderId="16" xfId="2" applyNumberFormat="1" applyFont="1" applyFill="1" applyBorder="1" applyAlignment="1">
      <alignment horizontal="right" vertical="top"/>
    </xf>
    <xf numFmtId="167" fontId="0" fillId="0" borderId="12" xfId="0" applyNumberFormat="1" applyBorder="1"/>
    <xf numFmtId="170" fontId="12" fillId="6" borderId="15" xfId="2" applyNumberFormat="1" applyFont="1" applyFill="1" applyBorder="1" applyAlignment="1">
      <alignment horizontal="right" vertical="top"/>
    </xf>
    <xf numFmtId="167" fontId="12" fillId="6" borderId="16" xfId="2" applyNumberFormat="1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0" fillId="5" borderId="15" xfId="2" applyFont="1" applyFill="1" applyBorder="1" applyAlignment="1">
      <alignment horizontal="left" vertical="top" wrapText="1"/>
    </xf>
    <xf numFmtId="0" fontId="10" fillId="5" borderId="14" xfId="2" applyFont="1" applyFill="1" applyBorder="1" applyAlignment="1">
      <alignment horizontal="left" vertical="top" wrapText="1"/>
    </xf>
    <xf numFmtId="0" fontId="10" fillId="5" borderId="16" xfId="2" applyFont="1" applyFill="1" applyBorder="1" applyAlignment="1">
      <alignment horizontal="left" vertical="top" wrapText="1"/>
    </xf>
    <xf numFmtId="0" fontId="9" fillId="0" borderId="0" xfId="2" applyFont="1" applyBorder="1" applyAlignment="1">
      <alignment horizontal="center" vertical="center" wrapText="1"/>
    </xf>
    <xf numFmtId="0" fontId="12" fillId="6" borderId="0" xfId="2" applyFont="1" applyFill="1"/>
    <xf numFmtId="0" fontId="8" fillId="0" borderId="0" xfId="2"/>
    <xf numFmtId="0" fontId="10" fillId="5" borderId="0" xfId="2" applyFont="1" applyFill="1" applyBorder="1" applyAlignment="1">
      <alignment horizontal="left" vertical="top" wrapText="1"/>
    </xf>
    <xf numFmtId="0" fontId="12" fillId="0" borderId="0" xfId="2" applyFont="1" applyBorder="1" applyAlignment="1">
      <alignment horizontal="left" vertical="top" wrapText="1"/>
    </xf>
    <xf numFmtId="0" fontId="10" fillId="0" borderId="12" xfId="2" applyFont="1" applyBorder="1" applyAlignment="1">
      <alignment horizontal="left" wrapText="1"/>
    </xf>
    <xf numFmtId="0" fontId="10" fillId="5" borderId="12" xfId="2" applyFont="1" applyFill="1" applyBorder="1" applyAlignment="1">
      <alignment horizontal="left" vertical="top" wrapText="1"/>
    </xf>
    <xf numFmtId="0" fontId="12" fillId="0" borderId="12" xfId="2" applyFont="1" applyBorder="1" applyAlignment="1">
      <alignment horizontal="left" vertical="top" wrapText="1"/>
    </xf>
    <xf numFmtId="0" fontId="9" fillId="0" borderId="12" xfId="2" applyFont="1" applyBorder="1" applyAlignment="1">
      <alignment horizontal="center" vertical="center" wrapText="1"/>
    </xf>
    <xf numFmtId="0" fontId="10" fillId="5" borderId="12" xfId="2" applyFont="1" applyFill="1" applyBorder="1" applyAlignment="1">
      <alignment horizontal="left" vertical="top"/>
    </xf>
    <xf numFmtId="0" fontId="10" fillId="0" borderId="12" xfId="2" applyFont="1" applyBorder="1" applyAlignment="1">
      <alignment horizontal="center" wrapText="1"/>
    </xf>
  </cellXfs>
  <cellStyles count="3">
    <cellStyle name="Normal" xfId="0" builtinId="0"/>
    <cellStyle name="Normal_Sheet2" xfId="2" xr:uid="{8B88A491-D926-4D72-8D5A-AF6045BFD13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Mean_Net</a:t>
            </a:r>
            <a:r>
              <a:rPr lang="en-US" baseline="0"/>
              <a:t> migration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Sheet2!$G$94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Sheet2!$F$95:$F$106</c:f>
              <c:strCache>
                <c:ptCount val="12"/>
                <c:pt idx="0">
                  <c:v>Berat</c:v>
                </c:pt>
                <c:pt idx="1">
                  <c:v>Dibër</c:v>
                </c:pt>
                <c:pt idx="2">
                  <c:v>Durrës</c:v>
                </c:pt>
                <c:pt idx="3">
                  <c:v>Elbasan</c:v>
                </c:pt>
                <c:pt idx="4">
                  <c:v>Fier</c:v>
                </c:pt>
                <c:pt idx="5">
                  <c:v>Gjirokastër</c:v>
                </c:pt>
                <c:pt idx="6">
                  <c:v>Korçë</c:v>
                </c:pt>
                <c:pt idx="7">
                  <c:v>Kukës</c:v>
                </c:pt>
                <c:pt idx="8">
                  <c:v>Lezhë</c:v>
                </c:pt>
                <c:pt idx="9">
                  <c:v>Shkodër</c:v>
                </c:pt>
                <c:pt idx="10">
                  <c:v>Tiranë</c:v>
                </c:pt>
                <c:pt idx="11">
                  <c:v>Vlorë</c:v>
                </c:pt>
              </c:strCache>
            </c:strRef>
          </c:cat>
          <c:val>
            <c:numRef>
              <c:f>Sheet2!$G$95:$G$106</c:f>
              <c:numCache>
                <c:formatCode>General</c:formatCode>
                <c:ptCount val="12"/>
                <c:pt idx="0" formatCode="###0.00">
                  <c:v>-1690.25</c:v>
                </c:pt>
                <c:pt idx="1">
                  <c:v>-2500</c:v>
                </c:pt>
                <c:pt idx="2">
                  <c:v>2233.5</c:v>
                </c:pt>
                <c:pt idx="3">
                  <c:v>-1739.875</c:v>
                </c:pt>
                <c:pt idx="4">
                  <c:v>-1322.375</c:v>
                </c:pt>
                <c:pt idx="5">
                  <c:v>-1111</c:v>
                </c:pt>
                <c:pt idx="6">
                  <c:v>-1434.25</c:v>
                </c:pt>
                <c:pt idx="7">
                  <c:v>-1129.5</c:v>
                </c:pt>
                <c:pt idx="8">
                  <c:v>-544.875</c:v>
                </c:pt>
                <c:pt idx="9">
                  <c:v>-735.625</c:v>
                </c:pt>
                <c:pt idx="10">
                  <c:v>9926.25</c:v>
                </c:pt>
                <c:pt idx="11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6-496C-91AF-C20EC1F24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718063"/>
        <c:axId val="1836693551"/>
      </c:lineChart>
      <c:catAx>
        <c:axId val="19927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693551"/>
        <c:crosses val="autoZero"/>
        <c:auto val="1"/>
        <c:lblAlgn val="ctr"/>
        <c:lblOffset val="100"/>
        <c:noMultiLvlLbl val="0"/>
      </c:catAx>
      <c:valAx>
        <c:axId val="18366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1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Mean_unemployment</a:t>
            </a:r>
            <a:r>
              <a:rPr lang="en-US" baseline="0"/>
              <a:t> rate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Sheet2!$G$109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Sheet2!$F$110:$F$121</c:f>
              <c:strCache>
                <c:ptCount val="12"/>
                <c:pt idx="0">
                  <c:v>Berat</c:v>
                </c:pt>
                <c:pt idx="1">
                  <c:v>Dibër</c:v>
                </c:pt>
                <c:pt idx="2">
                  <c:v>Durrës</c:v>
                </c:pt>
                <c:pt idx="3">
                  <c:v>Elbasan</c:v>
                </c:pt>
                <c:pt idx="4">
                  <c:v>Fier</c:v>
                </c:pt>
                <c:pt idx="5">
                  <c:v>Gjirokastër</c:v>
                </c:pt>
                <c:pt idx="6">
                  <c:v>Korçë</c:v>
                </c:pt>
                <c:pt idx="7">
                  <c:v>Kukës</c:v>
                </c:pt>
                <c:pt idx="8">
                  <c:v>Lezhë</c:v>
                </c:pt>
                <c:pt idx="9">
                  <c:v>Shkodër</c:v>
                </c:pt>
                <c:pt idx="10">
                  <c:v>Tiranë</c:v>
                </c:pt>
                <c:pt idx="11">
                  <c:v>Vlorë</c:v>
                </c:pt>
              </c:strCache>
            </c:strRef>
          </c:cat>
          <c:val>
            <c:numRef>
              <c:f>Sheet2!$G$110:$G$121</c:f>
              <c:numCache>
                <c:formatCode>###0.00</c:formatCode>
                <c:ptCount val="12"/>
                <c:pt idx="0">
                  <c:v>7.7125000000000004</c:v>
                </c:pt>
                <c:pt idx="1">
                  <c:v>10.862499999999999</c:v>
                </c:pt>
                <c:pt idx="2">
                  <c:v>13.025000000000002</c:v>
                </c:pt>
                <c:pt idx="3">
                  <c:v>8.9</c:v>
                </c:pt>
                <c:pt idx="4">
                  <c:v>9.5374999999999996</c:v>
                </c:pt>
                <c:pt idx="5">
                  <c:v>7.6624999999999996</c:v>
                </c:pt>
                <c:pt idx="6">
                  <c:v>8.2750000000000004</c:v>
                </c:pt>
                <c:pt idx="7">
                  <c:v>8.5375000000000014</c:v>
                </c:pt>
                <c:pt idx="8">
                  <c:v>19.45</c:v>
                </c:pt>
                <c:pt idx="9">
                  <c:v>11.15</c:v>
                </c:pt>
                <c:pt idx="10">
                  <c:v>14.475000000000001</c:v>
                </c:pt>
                <c:pt idx="11">
                  <c:v>17.925000000000001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9-451F-B81F-76EC5ACF2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31023"/>
        <c:axId val="88630607"/>
      </c:lineChart>
      <c:catAx>
        <c:axId val="886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0607"/>
        <c:crosses val="autoZero"/>
        <c:auto val="1"/>
        <c:lblAlgn val="ctr"/>
        <c:lblOffset val="100"/>
        <c:noMultiLvlLbl val="0"/>
      </c:catAx>
      <c:valAx>
        <c:axId val="886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Mean_GDP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Sheet2!$G$124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Sheet2!$F$125:$F$136</c:f>
              <c:strCache>
                <c:ptCount val="12"/>
                <c:pt idx="0">
                  <c:v>Berat</c:v>
                </c:pt>
                <c:pt idx="1">
                  <c:v>Dibër</c:v>
                </c:pt>
                <c:pt idx="2">
                  <c:v>Durrës</c:v>
                </c:pt>
                <c:pt idx="3">
                  <c:v>Elbasan</c:v>
                </c:pt>
                <c:pt idx="4">
                  <c:v>Fier</c:v>
                </c:pt>
                <c:pt idx="5">
                  <c:v>Gjirokastër</c:v>
                </c:pt>
                <c:pt idx="6">
                  <c:v>Korçë</c:v>
                </c:pt>
                <c:pt idx="7">
                  <c:v>Kukës</c:v>
                </c:pt>
                <c:pt idx="8">
                  <c:v>Lezhë</c:v>
                </c:pt>
                <c:pt idx="9">
                  <c:v>Shkodër</c:v>
                </c:pt>
                <c:pt idx="10">
                  <c:v>Tiranë</c:v>
                </c:pt>
                <c:pt idx="11">
                  <c:v>Vlorë</c:v>
                </c:pt>
              </c:strCache>
            </c:strRef>
          </c:cat>
          <c:val>
            <c:numRef>
              <c:f>Sheet2!$G$125:$G$136</c:f>
              <c:numCache>
                <c:formatCode>###0.00</c:formatCode>
                <c:ptCount val="12"/>
                <c:pt idx="0">
                  <c:v>56340.032500000001</c:v>
                </c:pt>
                <c:pt idx="1">
                  <c:v>44836.118750000001</c:v>
                </c:pt>
                <c:pt idx="2">
                  <c:v>156944.08500000002</c:v>
                </c:pt>
                <c:pt idx="3">
                  <c:v>103402.15249999998</c:v>
                </c:pt>
                <c:pt idx="4">
                  <c:v>168715.26625000002</c:v>
                </c:pt>
                <c:pt idx="5">
                  <c:v>35072.858749999999</c:v>
                </c:pt>
                <c:pt idx="6">
                  <c:v>82617.813750000001</c:v>
                </c:pt>
                <c:pt idx="7">
                  <c:v>24137.116250000003</c:v>
                </c:pt>
                <c:pt idx="8">
                  <c:v>48738.237500000003</c:v>
                </c:pt>
                <c:pt idx="9">
                  <c:v>79463.112500000003</c:v>
                </c:pt>
                <c:pt idx="10">
                  <c:v>673492.49124999996</c:v>
                </c:pt>
                <c:pt idx="11">
                  <c:v>91040.962500000009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2-46C9-AAA2-5795FB1C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36671"/>
        <c:axId val="158935839"/>
      </c:lineChart>
      <c:catAx>
        <c:axId val="15893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5839"/>
        <c:crosses val="autoZero"/>
        <c:auto val="1"/>
        <c:lblAlgn val="ctr"/>
        <c:lblOffset val="100"/>
        <c:noMultiLvlLbl val="0"/>
      </c:catAx>
      <c:valAx>
        <c:axId val="15893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101</xdr:row>
      <xdr:rowOff>147637</xdr:rowOff>
    </xdr:from>
    <xdr:to>
      <xdr:col>16</xdr:col>
      <xdr:colOff>0</xdr:colOff>
      <xdr:row>115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C613C-83B5-6184-48C2-9A0238F8D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442912</xdr:colOff>
      <xdr:row>101</xdr:row>
      <xdr:rowOff>147637</xdr:rowOff>
    </xdr:from>
    <xdr:to>
      <xdr:col>13</xdr:col>
      <xdr:colOff>471487</xdr:colOff>
      <xdr:row>115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C881ED-CC15-B2F3-FAC8-8C4DC6151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442912</xdr:colOff>
      <xdr:row>116</xdr:row>
      <xdr:rowOff>128587</xdr:rowOff>
    </xdr:from>
    <xdr:to>
      <xdr:col>13</xdr:col>
      <xdr:colOff>471487</xdr:colOff>
      <xdr:row>130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AA82A-0A1B-E37C-353A-5D491B73A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"/>
  <sheetViews>
    <sheetView topLeftCell="A54" workbookViewId="0">
      <selection activeCell="A72" sqref="A72:A83"/>
    </sheetView>
  </sheetViews>
  <sheetFormatPr defaultRowHeight="15"/>
  <cols>
    <col min="3" max="27" width="12.7109375" customWidth="1"/>
    <col min="28" max="28" width="13.28515625" customWidth="1"/>
    <col min="30" max="31" width="9.5703125" bestFit="1" customWidth="1"/>
  </cols>
  <sheetData>
    <row r="1" spans="1:32" ht="13.5" customHeight="1"/>
    <row r="2" spans="1:32">
      <c r="V2" t="s">
        <v>15</v>
      </c>
    </row>
    <row r="3" spans="1:32" ht="15.75" thickBot="1">
      <c r="A3" s="70"/>
      <c r="B3" s="72" t="s">
        <v>0</v>
      </c>
      <c r="C3" s="73"/>
      <c r="D3" s="73"/>
      <c r="E3" s="73"/>
      <c r="F3" s="73"/>
      <c r="G3" s="73"/>
      <c r="H3" s="73"/>
      <c r="I3" s="73"/>
      <c r="J3" s="73"/>
      <c r="K3" s="74"/>
      <c r="L3" s="72" t="s">
        <v>1</v>
      </c>
      <c r="M3" s="73"/>
      <c r="N3" s="73"/>
      <c r="O3" s="73"/>
      <c r="P3" s="73"/>
      <c r="Q3" s="73"/>
      <c r="R3" s="73"/>
      <c r="S3" s="73"/>
      <c r="T3" s="73"/>
      <c r="U3" s="73"/>
    </row>
    <row r="4" spans="1:32" ht="15.75" thickBot="1">
      <c r="A4" s="71"/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>
        <v>2020</v>
      </c>
      <c r="I4" s="1">
        <v>2021</v>
      </c>
      <c r="J4" s="1">
        <v>2022</v>
      </c>
      <c r="K4" s="1">
        <v>2023</v>
      </c>
      <c r="L4" s="1">
        <v>2014</v>
      </c>
      <c r="M4" s="1">
        <v>2015</v>
      </c>
      <c r="N4" s="1">
        <v>2016</v>
      </c>
      <c r="O4" s="1">
        <v>2017</v>
      </c>
      <c r="P4" s="1">
        <v>2018</v>
      </c>
      <c r="Q4" s="1">
        <v>2019</v>
      </c>
      <c r="R4" s="1">
        <v>2020</v>
      </c>
      <c r="S4" s="1">
        <v>2021</v>
      </c>
      <c r="T4" s="1">
        <v>2022</v>
      </c>
      <c r="U4" s="4">
        <v>2023</v>
      </c>
      <c r="V4" s="15">
        <v>2014</v>
      </c>
      <c r="W4" s="15">
        <v>2015</v>
      </c>
      <c r="X4" s="15">
        <v>2016</v>
      </c>
      <c r="Y4" s="15">
        <v>2017</v>
      </c>
      <c r="Z4" s="15">
        <v>2018</v>
      </c>
      <c r="AA4" s="15">
        <v>2019</v>
      </c>
      <c r="AB4" s="15">
        <v>2020</v>
      </c>
      <c r="AC4" s="15">
        <v>2021</v>
      </c>
      <c r="AD4" s="15">
        <v>2022</v>
      </c>
      <c r="AE4" s="15">
        <v>2023</v>
      </c>
    </row>
    <row r="5" spans="1:32" ht="15.75" thickBot="1">
      <c r="A5" s="5" t="s">
        <v>2</v>
      </c>
      <c r="B5" s="2">
        <v>32.177</v>
      </c>
      <c r="C5" s="2">
        <v>37.055999999999997</v>
      </c>
      <c r="D5" s="2">
        <v>57.917000000000002</v>
      </c>
      <c r="E5" s="2">
        <v>50.415999999999997</v>
      </c>
      <c r="F5" s="2">
        <v>26.437000000000001</v>
      </c>
      <c r="G5" s="2">
        <v>33.78</v>
      </c>
      <c r="H5" s="2">
        <v>34.009</v>
      </c>
      <c r="I5" s="2">
        <v>42.5</v>
      </c>
      <c r="J5" s="2">
        <v>34.844000000000001</v>
      </c>
      <c r="K5" s="2">
        <v>32.082000000000001</v>
      </c>
      <c r="L5" s="2">
        <v>32.177</v>
      </c>
      <c r="M5" s="2">
        <v>37.055999999999997</v>
      </c>
      <c r="N5" s="2">
        <v>57.917000000000002</v>
      </c>
      <c r="O5" s="2">
        <v>50.415999999999997</v>
      </c>
      <c r="P5" s="2">
        <v>26.437000000000001</v>
      </c>
      <c r="Q5" s="2">
        <v>33.78</v>
      </c>
      <c r="R5" s="2">
        <v>34.009</v>
      </c>
      <c r="S5" s="2">
        <v>42.5</v>
      </c>
      <c r="T5" s="2">
        <v>34.844000000000001</v>
      </c>
      <c r="U5" s="6">
        <v>32.082000000000001</v>
      </c>
      <c r="V5">
        <f t="shared" ref="V5:AE5" si="0">B5-L5</f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2" ht="15.75" thickBot="1">
      <c r="A6" s="5" t="s">
        <v>3</v>
      </c>
      <c r="B6" s="2">
        <v>1.0429999999999999</v>
      </c>
      <c r="C6" s="2">
        <v>1.121</v>
      </c>
      <c r="D6" s="2">
        <v>1.972</v>
      </c>
      <c r="E6" s="2">
        <v>1.3360000000000001</v>
      </c>
      <c r="F6" s="2">
        <v>1.036</v>
      </c>
      <c r="G6" s="2">
        <v>1.1739999999999999</v>
      </c>
      <c r="H6" s="2">
        <v>1.238</v>
      </c>
      <c r="I6" s="2">
        <v>1.482</v>
      </c>
      <c r="J6" s="2">
        <v>1.2090000000000001</v>
      </c>
      <c r="K6" s="2">
        <v>0.95099999999999996</v>
      </c>
      <c r="L6" s="2">
        <v>2.4220000000000002</v>
      </c>
      <c r="M6" s="2">
        <v>2.851</v>
      </c>
      <c r="N6" s="2">
        <v>4.6909999999999998</v>
      </c>
      <c r="O6" s="2">
        <v>4.4119999999999999</v>
      </c>
      <c r="P6" s="2">
        <v>2.02</v>
      </c>
      <c r="Q6" s="2">
        <v>2.5230000000000001</v>
      </c>
      <c r="R6" s="2">
        <v>2.2490000000000001</v>
      </c>
      <c r="S6" s="2">
        <v>3.0310000000000001</v>
      </c>
      <c r="T6" s="2">
        <v>2.3029999999999999</v>
      </c>
      <c r="U6" s="6">
        <v>2.2040000000000002</v>
      </c>
      <c r="V6">
        <f t="shared" ref="V6:V17" si="1">B6-L6</f>
        <v>-1.3790000000000002</v>
      </c>
      <c r="W6">
        <f t="shared" ref="W6:W17" si="2">C6-M6</f>
        <v>-1.73</v>
      </c>
      <c r="X6">
        <f t="shared" ref="X6:X17" si="3">D6-N6</f>
        <v>-2.7189999999999999</v>
      </c>
      <c r="Y6">
        <f t="shared" ref="Y6:Y17" si="4">E6-O6</f>
        <v>-3.0759999999999996</v>
      </c>
      <c r="Z6">
        <f t="shared" ref="Z6:Z17" si="5">F6-P6</f>
        <v>-0.98399999999999999</v>
      </c>
      <c r="AA6">
        <f t="shared" ref="AA6:AA17" si="6">G6-Q6</f>
        <v>-1.3490000000000002</v>
      </c>
      <c r="AB6">
        <f t="shared" ref="AB6:AB17" si="7">H6-R6</f>
        <v>-1.0110000000000001</v>
      </c>
      <c r="AC6">
        <f t="shared" ref="AC6:AC17" si="8">I6-S6</f>
        <v>-1.5490000000000002</v>
      </c>
      <c r="AD6">
        <f t="shared" ref="AD6:AD17" si="9">J6-T6</f>
        <v>-1.0939999999999999</v>
      </c>
      <c r="AE6">
        <f t="shared" ref="AE6:AE17" si="10">K6-U6</f>
        <v>-1.2530000000000001</v>
      </c>
      <c r="AF6" t="s">
        <v>3</v>
      </c>
    </row>
    <row r="7" spans="1:32" ht="15.75" thickBot="1">
      <c r="A7" s="5" t="s">
        <v>4</v>
      </c>
      <c r="B7" s="2">
        <v>1.1970000000000001</v>
      </c>
      <c r="C7" s="2">
        <v>1.216</v>
      </c>
      <c r="D7" s="2">
        <v>1.835</v>
      </c>
      <c r="E7" s="2">
        <v>0.91900000000000004</v>
      </c>
      <c r="F7" s="2">
        <v>0.73899999999999999</v>
      </c>
      <c r="G7" s="2">
        <v>0.80900000000000005</v>
      </c>
      <c r="H7" s="2">
        <v>0.92400000000000004</v>
      </c>
      <c r="I7" s="2">
        <v>0.92900000000000005</v>
      </c>
      <c r="J7" s="2">
        <v>0.879</v>
      </c>
      <c r="K7" s="2">
        <v>0.86299999999999999</v>
      </c>
      <c r="L7" s="2">
        <v>2.7360000000000002</v>
      </c>
      <c r="M7" s="2">
        <v>3.1150000000000002</v>
      </c>
      <c r="N7" s="2">
        <v>5.3979999999999997</v>
      </c>
      <c r="O7" s="2">
        <v>5.0759999999999996</v>
      </c>
      <c r="P7" s="2">
        <v>2.371</v>
      </c>
      <c r="Q7" s="2">
        <v>3.2429999999999999</v>
      </c>
      <c r="R7" s="2">
        <v>2.7690000000000001</v>
      </c>
      <c r="S7" s="2">
        <v>3.806</v>
      </c>
      <c r="T7" s="2">
        <v>2.7010000000000001</v>
      </c>
      <c r="U7" s="6">
        <v>2.5329999999999999</v>
      </c>
      <c r="V7">
        <f t="shared" si="1"/>
        <v>-1.5390000000000001</v>
      </c>
      <c r="W7">
        <f t="shared" si="2"/>
        <v>-1.8990000000000002</v>
      </c>
      <c r="X7">
        <f t="shared" si="3"/>
        <v>-3.5629999999999997</v>
      </c>
      <c r="Y7">
        <f t="shared" si="4"/>
        <v>-4.157</v>
      </c>
      <c r="Z7">
        <f t="shared" si="5"/>
        <v>-1.6320000000000001</v>
      </c>
      <c r="AA7">
        <f t="shared" si="6"/>
        <v>-2.4339999999999997</v>
      </c>
      <c r="AB7">
        <f t="shared" si="7"/>
        <v>-1.8450000000000002</v>
      </c>
      <c r="AC7">
        <f t="shared" si="8"/>
        <v>-2.8769999999999998</v>
      </c>
      <c r="AD7">
        <f t="shared" si="9"/>
        <v>-1.8220000000000001</v>
      </c>
      <c r="AE7">
        <f t="shared" si="10"/>
        <v>-1.67</v>
      </c>
      <c r="AF7" t="s">
        <v>4</v>
      </c>
    </row>
    <row r="8" spans="1:32" ht="15.75" thickBot="1">
      <c r="A8" s="5" t="s">
        <v>5</v>
      </c>
      <c r="B8" s="2">
        <v>3.948</v>
      </c>
      <c r="C8" s="2">
        <v>6.0810000000000004</v>
      </c>
      <c r="D8" s="2">
        <v>8.6579999999999995</v>
      </c>
      <c r="E8" s="2">
        <v>8.3330000000000002</v>
      </c>
      <c r="F8" s="2">
        <v>3.0470000000000002</v>
      </c>
      <c r="G8" s="2">
        <v>4.3310000000000004</v>
      </c>
      <c r="H8" s="2">
        <v>5.2649999999999997</v>
      </c>
      <c r="I8" s="2">
        <v>5.585</v>
      </c>
      <c r="J8" s="2">
        <v>4.1130000000000004</v>
      </c>
      <c r="K8" s="2">
        <v>3.5390000000000001</v>
      </c>
      <c r="L8" s="2">
        <v>3.0230000000000001</v>
      </c>
      <c r="M8" s="2">
        <v>2.9929999999999999</v>
      </c>
      <c r="N8" s="2">
        <v>4.6150000000000002</v>
      </c>
      <c r="O8" s="2">
        <v>3.7</v>
      </c>
      <c r="P8" s="2">
        <v>2.2309999999999999</v>
      </c>
      <c r="Q8" s="2">
        <v>2.617</v>
      </c>
      <c r="R8" s="2">
        <v>2.8159999999999998</v>
      </c>
      <c r="S8" s="2">
        <v>3.3769999999999998</v>
      </c>
      <c r="T8" s="2">
        <v>2.931</v>
      </c>
      <c r="U8" s="6">
        <v>2.7160000000000002</v>
      </c>
      <c r="V8">
        <f t="shared" si="1"/>
        <v>0.92499999999999982</v>
      </c>
      <c r="W8">
        <f t="shared" si="2"/>
        <v>3.0880000000000005</v>
      </c>
      <c r="X8">
        <f t="shared" si="3"/>
        <v>4.0429999999999993</v>
      </c>
      <c r="Y8">
        <f t="shared" si="4"/>
        <v>4.633</v>
      </c>
      <c r="Z8">
        <f t="shared" si="5"/>
        <v>0.81600000000000028</v>
      </c>
      <c r="AA8">
        <f t="shared" si="6"/>
        <v>1.7140000000000004</v>
      </c>
      <c r="AB8">
        <f t="shared" si="7"/>
        <v>2.4489999999999998</v>
      </c>
      <c r="AC8">
        <f t="shared" si="8"/>
        <v>2.2080000000000002</v>
      </c>
      <c r="AD8">
        <f t="shared" si="9"/>
        <v>1.1820000000000004</v>
      </c>
      <c r="AE8">
        <f t="shared" si="10"/>
        <v>0.82299999999999995</v>
      </c>
      <c r="AF8" t="s">
        <v>5</v>
      </c>
    </row>
    <row r="9" spans="1:32" ht="15.75" thickBot="1">
      <c r="A9" s="5" t="s">
        <v>6</v>
      </c>
      <c r="B9" s="2">
        <v>2.786</v>
      </c>
      <c r="C9" s="2">
        <v>2.8010000000000002</v>
      </c>
      <c r="D9" s="2">
        <v>3.2719999999999998</v>
      </c>
      <c r="E9" s="2">
        <v>2.56</v>
      </c>
      <c r="F9" s="2">
        <v>1.4159999999999999</v>
      </c>
      <c r="G9" s="2">
        <v>1.792</v>
      </c>
      <c r="H9" s="2">
        <v>1.825</v>
      </c>
      <c r="I9" s="2">
        <v>2.2229999999999999</v>
      </c>
      <c r="J9" s="2">
        <v>2.073</v>
      </c>
      <c r="K9" s="2">
        <v>1.853</v>
      </c>
      <c r="L9" s="2">
        <v>3.097</v>
      </c>
      <c r="M9" s="2">
        <v>3.6960000000000002</v>
      </c>
      <c r="N9" s="2">
        <v>6.0090000000000003</v>
      </c>
      <c r="O9" s="2">
        <v>5.35</v>
      </c>
      <c r="P9" s="2">
        <v>2.6880000000000002</v>
      </c>
      <c r="Q9" s="2">
        <v>3.544</v>
      </c>
      <c r="R9" s="2">
        <v>3.1139999999999999</v>
      </c>
      <c r="S9" s="2">
        <v>4.0549999999999997</v>
      </c>
      <c r="T9" s="2">
        <v>3.3559999999999999</v>
      </c>
      <c r="U9" s="6">
        <v>2.8170000000000002</v>
      </c>
      <c r="V9">
        <f t="shared" si="1"/>
        <v>-0.31099999999999994</v>
      </c>
      <c r="W9">
        <f t="shared" si="2"/>
        <v>-0.89500000000000002</v>
      </c>
      <c r="X9">
        <f t="shared" si="3"/>
        <v>-2.7370000000000005</v>
      </c>
      <c r="Y9">
        <f t="shared" si="4"/>
        <v>-2.7899999999999996</v>
      </c>
      <c r="Z9">
        <f t="shared" si="5"/>
        <v>-1.2720000000000002</v>
      </c>
      <c r="AA9">
        <f t="shared" si="6"/>
        <v>-1.752</v>
      </c>
      <c r="AB9">
        <f t="shared" si="7"/>
        <v>-1.2889999999999999</v>
      </c>
      <c r="AC9">
        <f t="shared" si="8"/>
        <v>-1.8319999999999999</v>
      </c>
      <c r="AD9">
        <f t="shared" si="9"/>
        <v>-1.2829999999999999</v>
      </c>
      <c r="AE9">
        <f t="shared" si="10"/>
        <v>-0.96400000000000019</v>
      </c>
      <c r="AF9" t="s">
        <v>6</v>
      </c>
    </row>
    <row r="10" spans="1:32" ht="15.75" thickBot="1">
      <c r="A10" s="5" t="s">
        <v>7</v>
      </c>
      <c r="B10" s="2">
        <v>2.52</v>
      </c>
      <c r="C10" s="2">
        <v>3.4089999999999998</v>
      </c>
      <c r="D10" s="2">
        <v>5.0739999999999998</v>
      </c>
      <c r="E10" s="2">
        <v>4.1820000000000004</v>
      </c>
      <c r="F10" s="2">
        <v>2.484</v>
      </c>
      <c r="G10" s="2">
        <v>2.899</v>
      </c>
      <c r="H10" s="2">
        <v>3.7730000000000001</v>
      </c>
      <c r="I10" s="2">
        <v>3.992</v>
      </c>
      <c r="J10" s="2">
        <v>3.105</v>
      </c>
      <c r="K10" s="2">
        <v>2.698</v>
      </c>
      <c r="L10" s="2">
        <v>3.7709999999999999</v>
      </c>
      <c r="M10" s="2">
        <v>4.141</v>
      </c>
      <c r="N10" s="2">
        <v>6.75</v>
      </c>
      <c r="O10" s="2">
        <v>6.1829999999999998</v>
      </c>
      <c r="P10" s="2">
        <v>3.3769999999999998</v>
      </c>
      <c r="Q10" s="2">
        <v>4.3010000000000002</v>
      </c>
      <c r="R10" s="2">
        <v>4.5910000000000002</v>
      </c>
      <c r="S10" s="2">
        <v>5.4489999999999998</v>
      </c>
      <c r="T10" s="2">
        <v>4.2919999999999998</v>
      </c>
      <c r="U10" s="6">
        <v>3.8420000000000001</v>
      </c>
      <c r="V10">
        <f t="shared" si="1"/>
        <v>-1.2509999999999999</v>
      </c>
      <c r="W10">
        <f t="shared" si="2"/>
        <v>-0.73200000000000021</v>
      </c>
      <c r="X10">
        <f t="shared" si="3"/>
        <v>-1.6760000000000002</v>
      </c>
      <c r="Y10">
        <f t="shared" si="4"/>
        <v>-2.0009999999999994</v>
      </c>
      <c r="Z10">
        <f t="shared" si="5"/>
        <v>-0.89299999999999979</v>
      </c>
      <c r="AA10">
        <f t="shared" si="6"/>
        <v>-1.4020000000000001</v>
      </c>
      <c r="AB10">
        <f t="shared" si="7"/>
        <v>-0.81800000000000006</v>
      </c>
      <c r="AC10">
        <f t="shared" si="8"/>
        <v>-1.4569999999999999</v>
      </c>
      <c r="AD10">
        <f t="shared" si="9"/>
        <v>-1.1869999999999998</v>
      </c>
      <c r="AE10">
        <f t="shared" si="10"/>
        <v>-1.1440000000000001</v>
      </c>
      <c r="AF10" t="s">
        <v>7</v>
      </c>
    </row>
    <row r="11" spans="1:32" ht="29.25" thickBot="1">
      <c r="A11" s="5" t="s">
        <v>8</v>
      </c>
      <c r="B11" s="2">
        <v>1.33</v>
      </c>
      <c r="C11" s="2">
        <v>1.081</v>
      </c>
      <c r="D11" s="2">
        <v>1.645</v>
      </c>
      <c r="E11" s="2">
        <v>0.90700000000000003</v>
      </c>
      <c r="F11" s="2">
        <v>0.64900000000000002</v>
      </c>
      <c r="G11" s="2">
        <v>0.74</v>
      </c>
      <c r="H11" s="2">
        <v>0.88400000000000001</v>
      </c>
      <c r="I11" s="2">
        <v>0.72699999999999998</v>
      </c>
      <c r="J11" s="2">
        <v>0.83699999999999997</v>
      </c>
      <c r="K11" s="2">
        <v>0.69199999999999995</v>
      </c>
      <c r="L11" s="2">
        <v>1.7689999999999999</v>
      </c>
      <c r="M11" s="2">
        <v>2.1360000000000001</v>
      </c>
      <c r="N11" s="2">
        <v>3.234</v>
      </c>
      <c r="O11" s="2">
        <v>3.117</v>
      </c>
      <c r="P11" s="2">
        <v>1.4850000000000001</v>
      </c>
      <c r="Q11" s="2">
        <v>1.8120000000000001</v>
      </c>
      <c r="R11" s="2">
        <v>1.42</v>
      </c>
      <c r="S11" s="2">
        <v>1.94</v>
      </c>
      <c r="T11" s="2">
        <v>1.4930000000000001</v>
      </c>
      <c r="U11" s="6">
        <v>1.468</v>
      </c>
      <c r="V11">
        <f t="shared" si="1"/>
        <v>-0.43899999999999983</v>
      </c>
      <c r="W11">
        <f t="shared" si="2"/>
        <v>-1.0550000000000002</v>
      </c>
      <c r="X11">
        <f t="shared" si="3"/>
        <v>-1.589</v>
      </c>
      <c r="Y11">
        <f t="shared" si="4"/>
        <v>-2.21</v>
      </c>
      <c r="Z11">
        <f t="shared" si="5"/>
        <v>-0.83600000000000008</v>
      </c>
      <c r="AA11">
        <f t="shared" si="6"/>
        <v>-1.0720000000000001</v>
      </c>
      <c r="AB11">
        <f t="shared" si="7"/>
        <v>-0.53599999999999992</v>
      </c>
      <c r="AC11">
        <f t="shared" si="8"/>
        <v>-1.2130000000000001</v>
      </c>
      <c r="AD11">
        <f t="shared" si="9"/>
        <v>-0.65600000000000014</v>
      </c>
      <c r="AE11">
        <f t="shared" si="10"/>
        <v>-0.77600000000000002</v>
      </c>
      <c r="AF11" t="s">
        <v>8</v>
      </c>
    </row>
    <row r="12" spans="1:32" ht="15.75" thickBot="1">
      <c r="A12" s="7" t="s">
        <v>9</v>
      </c>
      <c r="B12" s="3">
        <v>1.7150000000000001</v>
      </c>
      <c r="C12" s="3">
        <v>1.6819999999999999</v>
      </c>
      <c r="D12" s="3">
        <v>2.68</v>
      </c>
      <c r="E12" s="3">
        <v>1.8360000000000001</v>
      </c>
      <c r="F12" s="3">
        <v>1.2190000000000001</v>
      </c>
      <c r="G12" s="3">
        <v>1.387</v>
      </c>
      <c r="H12" s="3">
        <v>1.698</v>
      </c>
      <c r="I12" s="3">
        <v>1.7949999999999999</v>
      </c>
      <c r="J12" s="3">
        <v>1.6879999999999999</v>
      </c>
      <c r="K12" s="3">
        <v>1.3149999999999999</v>
      </c>
      <c r="L12" s="3">
        <v>2.7669999999999999</v>
      </c>
      <c r="M12" s="3">
        <v>3.0190000000000001</v>
      </c>
      <c r="N12" s="3">
        <v>5.0339999999999998</v>
      </c>
      <c r="O12" s="3">
        <v>4.6449999999999996</v>
      </c>
      <c r="P12" s="3">
        <v>2.0630000000000002</v>
      </c>
      <c r="Q12" s="3">
        <v>2.4740000000000002</v>
      </c>
      <c r="R12" s="3">
        <v>2.4409999999999998</v>
      </c>
      <c r="S12" s="3">
        <v>3.2050000000000001</v>
      </c>
      <c r="T12" s="3">
        <v>2.7389999999999999</v>
      </c>
      <c r="U12" s="8">
        <v>2.4910000000000001</v>
      </c>
      <c r="V12">
        <f t="shared" si="1"/>
        <v>-1.0519999999999998</v>
      </c>
      <c r="W12">
        <f t="shared" si="2"/>
        <v>-1.3370000000000002</v>
      </c>
      <c r="X12">
        <f t="shared" si="3"/>
        <v>-2.3539999999999996</v>
      </c>
      <c r="Y12">
        <f t="shared" si="4"/>
        <v>-2.8089999999999993</v>
      </c>
      <c r="Z12">
        <f t="shared" si="5"/>
        <v>-0.84400000000000008</v>
      </c>
      <c r="AA12">
        <f t="shared" si="6"/>
        <v>-1.0870000000000002</v>
      </c>
      <c r="AB12">
        <f t="shared" si="7"/>
        <v>-0.74299999999999988</v>
      </c>
      <c r="AC12">
        <f t="shared" si="8"/>
        <v>-1.4100000000000001</v>
      </c>
      <c r="AD12">
        <f t="shared" si="9"/>
        <v>-1.0509999999999999</v>
      </c>
      <c r="AE12">
        <f t="shared" si="10"/>
        <v>-1.1760000000000002</v>
      </c>
      <c r="AF12" t="s">
        <v>9</v>
      </c>
    </row>
    <row r="13" spans="1:32" ht="15.75" thickBot="1">
      <c r="A13" s="5" t="s">
        <v>10</v>
      </c>
      <c r="B13" s="2">
        <v>0.71299999999999997</v>
      </c>
      <c r="C13" s="2">
        <v>0.71099999999999997</v>
      </c>
      <c r="D13" s="2">
        <v>1.181</v>
      </c>
      <c r="E13" s="2">
        <v>0.70099999999999996</v>
      </c>
      <c r="F13" s="2">
        <v>0.57599999999999996</v>
      </c>
      <c r="G13" s="2">
        <v>0.55900000000000005</v>
      </c>
      <c r="H13" s="2">
        <v>0.54</v>
      </c>
      <c r="I13" s="2">
        <v>0.52300000000000002</v>
      </c>
      <c r="J13" s="2">
        <v>0.53</v>
      </c>
      <c r="K13" s="2">
        <v>0.57799999999999996</v>
      </c>
      <c r="L13" s="2">
        <v>1.5349999999999999</v>
      </c>
      <c r="M13" s="2">
        <v>1.8380000000000001</v>
      </c>
      <c r="N13" s="2">
        <v>3.0939999999999999</v>
      </c>
      <c r="O13" s="2">
        <v>2.722</v>
      </c>
      <c r="P13" s="2">
        <v>1.2529999999999999</v>
      </c>
      <c r="Q13" s="2">
        <v>1.5860000000000001</v>
      </c>
      <c r="R13" s="2">
        <v>1.415</v>
      </c>
      <c r="S13" s="2">
        <v>1.681</v>
      </c>
      <c r="T13" s="2">
        <v>1.2809999999999999</v>
      </c>
      <c r="U13" s="6">
        <v>1.1919999999999999</v>
      </c>
      <c r="V13">
        <f t="shared" si="1"/>
        <v>-0.82199999999999995</v>
      </c>
      <c r="W13">
        <f t="shared" si="2"/>
        <v>-1.1270000000000002</v>
      </c>
      <c r="X13">
        <f t="shared" si="3"/>
        <v>-1.9129999999999998</v>
      </c>
      <c r="Y13">
        <f t="shared" si="4"/>
        <v>-2.0209999999999999</v>
      </c>
      <c r="Z13">
        <f t="shared" si="5"/>
        <v>-0.67699999999999994</v>
      </c>
      <c r="AA13">
        <f t="shared" si="6"/>
        <v>-1.0270000000000001</v>
      </c>
      <c r="AB13">
        <f t="shared" si="7"/>
        <v>-0.875</v>
      </c>
      <c r="AC13">
        <f t="shared" si="8"/>
        <v>-1.1579999999999999</v>
      </c>
      <c r="AD13">
        <f t="shared" si="9"/>
        <v>-0.75099999999999989</v>
      </c>
      <c r="AE13">
        <f t="shared" si="10"/>
        <v>-0.61399999999999999</v>
      </c>
      <c r="AF13" t="s">
        <v>10</v>
      </c>
    </row>
    <row r="14" spans="1:32" ht="15.75" thickBot="1">
      <c r="A14" s="5" t="s">
        <v>11</v>
      </c>
      <c r="B14" s="2">
        <v>1.8049999999999999</v>
      </c>
      <c r="C14" s="2">
        <v>2.4380000000000002</v>
      </c>
      <c r="D14" s="2">
        <v>3.294</v>
      </c>
      <c r="E14" s="2">
        <v>2.2400000000000002</v>
      </c>
      <c r="F14" s="2">
        <v>1.5660000000000001</v>
      </c>
      <c r="G14" s="2">
        <v>2.0539999999999998</v>
      </c>
      <c r="H14" s="2">
        <v>1.8120000000000001</v>
      </c>
      <c r="I14" s="2">
        <v>2.036</v>
      </c>
      <c r="J14" s="2">
        <v>1.68</v>
      </c>
      <c r="K14" s="2">
        <v>1.67</v>
      </c>
      <c r="L14" s="2">
        <v>2.1539999999999999</v>
      </c>
      <c r="M14" s="2">
        <v>2.4780000000000002</v>
      </c>
      <c r="N14" s="2">
        <v>3.855</v>
      </c>
      <c r="O14" s="2">
        <v>3.1739999999999999</v>
      </c>
      <c r="P14" s="2">
        <v>1.8540000000000001</v>
      </c>
      <c r="Q14" s="2">
        <v>2.609</v>
      </c>
      <c r="R14" s="2">
        <v>2.4020000000000001</v>
      </c>
      <c r="S14" s="2">
        <v>2.6890000000000001</v>
      </c>
      <c r="T14" s="2">
        <v>2.109</v>
      </c>
      <c r="U14" s="6">
        <v>2.0190000000000001</v>
      </c>
      <c r="V14">
        <f t="shared" si="1"/>
        <v>-0.34899999999999998</v>
      </c>
      <c r="W14">
        <f t="shared" si="2"/>
        <v>-4.0000000000000036E-2</v>
      </c>
      <c r="X14">
        <f t="shared" si="3"/>
        <v>-0.56099999999999994</v>
      </c>
      <c r="Y14">
        <f t="shared" si="4"/>
        <v>-0.93399999999999972</v>
      </c>
      <c r="Z14">
        <f t="shared" si="5"/>
        <v>-0.28800000000000003</v>
      </c>
      <c r="AA14">
        <f t="shared" si="6"/>
        <v>-0.55500000000000016</v>
      </c>
      <c r="AB14">
        <f t="shared" si="7"/>
        <v>-0.59000000000000008</v>
      </c>
      <c r="AC14">
        <f t="shared" si="8"/>
        <v>-0.65300000000000002</v>
      </c>
      <c r="AD14">
        <f t="shared" si="9"/>
        <v>-0.42900000000000005</v>
      </c>
      <c r="AE14">
        <f t="shared" si="10"/>
        <v>-0.3490000000000002</v>
      </c>
      <c r="AF14" t="s">
        <v>11</v>
      </c>
    </row>
    <row r="15" spans="1:32" ht="15.75" thickBot="1">
      <c r="A15" s="5" t="s">
        <v>12</v>
      </c>
      <c r="B15" s="2">
        <v>1.1719999999999999</v>
      </c>
      <c r="C15" s="2">
        <v>1.3380000000000001</v>
      </c>
      <c r="D15" s="2">
        <v>2.2389999999999999</v>
      </c>
      <c r="E15" s="2">
        <v>1.6919999999999999</v>
      </c>
      <c r="F15" s="2">
        <v>1.099</v>
      </c>
      <c r="G15" s="2">
        <v>1.6819999999999999</v>
      </c>
      <c r="H15" s="2">
        <v>1.5589999999999999</v>
      </c>
      <c r="I15" s="2">
        <v>1.994</v>
      </c>
      <c r="J15" s="2">
        <v>1.925</v>
      </c>
      <c r="K15" s="2">
        <v>1.583</v>
      </c>
      <c r="L15" s="2">
        <v>1.83</v>
      </c>
      <c r="M15" s="2">
        <v>2.2770000000000001</v>
      </c>
      <c r="N15" s="2">
        <v>3.4089999999999998</v>
      </c>
      <c r="O15" s="2">
        <v>2.98</v>
      </c>
      <c r="P15" s="2">
        <v>1.5589999999999999</v>
      </c>
      <c r="Q15" s="2">
        <v>2.23</v>
      </c>
      <c r="R15" s="2">
        <v>2.367</v>
      </c>
      <c r="S15" s="2">
        <v>2.6659999999999999</v>
      </c>
      <c r="T15" s="2">
        <v>2.4390000000000001</v>
      </c>
      <c r="U15" s="6">
        <v>2.008</v>
      </c>
      <c r="V15">
        <f t="shared" si="1"/>
        <v>-0.65800000000000014</v>
      </c>
      <c r="W15">
        <f t="shared" si="2"/>
        <v>-0.93900000000000006</v>
      </c>
      <c r="X15">
        <f t="shared" si="3"/>
        <v>-1.17</v>
      </c>
      <c r="Y15">
        <f t="shared" si="4"/>
        <v>-1.288</v>
      </c>
      <c r="Z15">
        <f t="shared" si="5"/>
        <v>-0.45999999999999996</v>
      </c>
      <c r="AA15">
        <f t="shared" si="6"/>
        <v>-0.54800000000000004</v>
      </c>
      <c r="AB15">
        <f t="shared" si="7"/>
        <v>-0.80800000000000005</v>
      </c>
      <c r="AC15">
        <f t="shared" si="8"/>
        <v>-0.67199999999999993</v>
      </c>
      <c r="AD15">
        <f t="shared" si="9"/>
        <v>-0.51400000000000001</v>
      </c>
      <c r="AE15">
        <f t="shared" si="10"/>
        <v>-0.42500000000000004</v>
      </c>
      <c r="AF15" t="s">
        <v>12</v>
      </c>
    </row>
    <row r="16" spans="1:32" ht="15.75" thickBot="1">
      <c r="A16" s="5" t="s">
        <v>13</v>
      </c>
      <c r="B16" s="2">
        <v>12</v>
      </c>
      <c r="C16" s="2">
        <v>12.993</v>
      </c>
      <c r="D16" s="2">
        <v>22.385000000000002</v>
      </c>
      <c r="E16" s="2">
        <v>22.745999999999999</v>
      </c>
      <c r="F16" s="2">
        <v>10.869</v>
      </c>
      <c r="G16" s="2">
        <v>14.098000000000001</v>
      </c>
      <c r="H16" s="2">
        <v>12.164999999999999</v>
      </c>
      <c r="I16" s="2">
        <v>18.292999999999999</v>
      </c>
      <c r="J16" s="2">
        <v>14.015000000000001</v>
      </c>
      <c r="K16" s="2">
        <v>13.557</v>
      </c>
      <c r="L16" s="2">
        <v>4.7370000000000001</v>
      </c>
      <c r="M16" s="2">
        <v>5.9379999999999997</v>
      </c>
      <c r="N16" s="2">
        <v>7.9880000000000004</v>
      </c>
      <c r="O16" s="2">
        <v>5.9020000000000001</v>
      </c>
      <c r="P16" s="2">
        <v>3.6760000000000002</v>
      </c>
      <c r="Q16" s="2">
        <v>4.6420000000000003</v>
      </c>
      <c r="R16" s="2">
        <v>6.0529999999999999</v>
      </c>
      <c r="S16" s="2">
        <v>7.6159999999999997</v>
      </c>
      <c r="T16" s="2">
        <v>6.649</v>
      </c>
      <c r="U16" s="6">
        <v>6.1920000000000002</v>
      </c>
      <c r="V16">
        <f t="shared" si="1"/>
        <v>7.2629999999999999</v>
      </c>
      <c r="W16">
        <f t="shared" si="2"/>
        <v>7.0550000000000006</v>
      </c>
      <c r="X16">
        <f t="shared" si="3"/>
        <v>14.397000000000002</v>
      </c>
      <c r="Y16">
        <f t="shared" si="4"/>
        <v>16.843999999999998</v>
      </c>
      <c r="Z16">
        <f t="shared" si="5"/>
        <v>7.1929999999999996</v>
      </c>
      <c r="AA16">
        <f t="shared" si="6"/>
        <v>9.4559999999999995</v>
      </c>
      <c r="AB16">
        <f t="shared" si="7"/>
        <v>6.1119999999999992</v>
      </c>
      <c r="AC16">
        <f t="shared" si="8"/>
        <v>10.677</v>
      </c>
      <c r="AD16">
        <f t="shared" si="9"/>
        <v>7.3660000000000005</v>
      </c>
      <c r="AE16">
        <f t="shared" si="10"/>
        <v>7.3650000000000002</v>
      </c>
      <c r="AF16" t="s">
        <v>13</v>
      </c>
    </row>
    <row r="17" spans="1:32" ht="15.75" thickBot="1">
      <c r="A17" s="9" t="s">
        <v>14</v>
      </c>
      <c r="B17" s="10">
        <v>1.948</v>
      </c>
      <c r="C17" s="10">
        <v>2.1850000000000001</v>
      </c>
      <c r="D17" s="10">
        <v>3.6819999999999999</v>
      </c>
      <c r="E17" s="10">
        <v>2.964</v>
      </c>
      <c r="F17" s="10">
        <v>1.7370000000000001</v>
      </c>
      <c r="G17" s="10">
        <v>2.2549999999999999</v>
      </c>
      <c r="H17" s="10">
        <v>2.3260000000000001</v>
      </c>
      <c r="I17" s="10">
        <v>2.9209999999999998</v>
      </c>
      <c r="J17" s="10">
        <v>2.79</v>
      </c>
      <c r="K17" s="10">
        <v>2.7829999999999999</v>
      </c>
      <c r="L17" s="10">
        <v>2.3359999999999999</v>
      </c>
      <c r="M17" s="10">
        <v>2.5739999999999998</v>
      </c>
      <c r="N17" s="10">
        <v>3.84</v>
      </c>
      <c r="O17" s="10">
        <v>3.1549999999999998</v>
      </c>
      <c r="P17" s="10">
        <v>1.86</v>
      </c>
      <c r="Q17" s="10">
        <v>2.1989999999999998</v>
      </c>
      <c r="R17" s="10">
        <v>2.3719999999999999</v>
      </c>
      <c r="S17" s="10">
        <v>2.9849999999999999</v>
      </c>
      <c r="T17" s="10">
        <v>2.5510000000000002</v>
      </c>
      <c r="U17" s="11">
        <v>2.6</v>
      </c>
      <c r="V17">
        <f t="shared" si="1"/>
        <v>-0.3879999999999999</v>
      </c>
      <c r="W17">
        <f t="shared" si="2"/>
        <v>-0.38899999999999979</v>
      </c>
      <c r="X17">
        <f t="shared" si="3"/>
        <v>-0.15799999999999992</v>
      </c>
      <c r="Y17">
        <f t="shared" si="4"/>
        <v>-0.19099999999999984</v>
      </c>
      <c r="Z17">
        <f t="shared" si="5"/>
        <v>-0.123</v>
      </c>
      <c r="AA17">
        <f t="shared" si="6"/>
        <v>5.600000000000005E-2</v>
      </c>
      <c r="AB17">
        <f t="shared" si="7"/>
        <v>-4.5999999999999819E-2</v>
      </c>
      <c r="AC17">
        <f t="shared" si="8"/>
        <v>-6.4000000000000057E-2</v>
      </c>
      <c r="AD17">
        <f t="shared" si="9"/>
        <v>0.23899999999999988</v>
      </c>
      <c r="AE17">
        <f t="shared" si="10"/>
        <v>0.18299999999999983</v>
      </c>
      <c r="AF17" t="s">
        <v>14</v>
      </c>
    </row>
    <row r="20" spans="1:32" ht="30.75" thickBot="1">
      <c r="O20" s="12"/>
      <c r="P20" s="20" t="s">
        <v>99</v>
      </c>
      <c r="R20" s="70"/>
      <c r="S20" s="14" t="s">
        <v>108</v>
      </c>
    </row>
    <row r="21" spans="1:32" ht="90.75" thickBot="1">
      <c r="C21" s="70"/>
      <c r="D21" s="72" t="s">
        <v>16</v>
      </c>
      <c r="E21" s="73"/>
      <c r="F21" s="73"/>
      <c r="G21" s="73"/>
      <c r="H21" s="73"/>
      <c r="I21" s="73"/>
      <c r="J21" s="73"/>
      <c r="K21" s="73"/>
      <c r="L21" s="73"/>
      <c r="O21" s="13"/>
      <c r="P21" s="21">
        <v>2023</v>
      </c>
      <c r="R21" s="71"/>
      <c r="S21" s="4">
        <v>2023</v>
      </c>
      <c r="W21" s="70" t="s">
        <v>140</v>
      </c>
      <c r="X21" s="16" t="s">
        <v>108</v>
      </c>
      <c r="Z21" s="70"/>
      <c r="AA21" s="16" t="s">
        <v>141</v>
      </c>
    </row>
    <row r="22" spans="1:32" ht="57.75" thickBot="1">
      <c r="C22" s="71"/>
      <c r="D22" s="1">
        <v>2016</v>
      </c>
      <c r="E22" s="1">
        <v>2017</v>
      </c>
      <c r="F22" s="1">
        <v>2018</v>
      </c>
      <c r="G22" s="1">
        <v>2019</v>
      </c>
      <c r="H22" s="1">
        <v>2020</v>
      </c>
      <c r="I22" s="1">
        <v>2021</v>
      </c>
      <c r="J22" s="1">
        <v>2022</v>
      </c>
      <c r="K22" s="1">
        <v>2023</v>
      </c>
      <c r="L22" s="4">
        <v>2024</v>
      </c>
      <c r="O22" s="22" t="s">
        <v>100</v>
      </c>
      <c r="P22" s="23"/>
      <c r="R22" s="5" t="s">
        <v>109</v>
      </c>
      <c r="S22" s="23"/>
      <c r="W22" s="71"/>
      <c r="X22" s="4">
        <v>2011</v>
      </c>
      <c r="Z22" s="71"/>
      <c r="AA22" s="4">
        <v>2011</v>
      </c>
    </row>
    <row r="23" spans="1:32" ht="15.75" thickBot="1">
      <c r="C23" s="5" t="s">
        <v>3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6" t="s">
        <v>25</v>
      </c>
      <c r="M23">
        <v>247</v>
      </c>
      <c r="N23" s="38">
        <f>M23/10</f>
        <v>24.7</v>
      </c>
      <c r="O23" s="24" t="s">
        <v>3</v>
      </c>
      <c r="P23" s="6" t="s">
        <v>101</v>
      </c>
      <c r="R23" s="26" t="s">
        <v>3</v>
      </c>
      <c r="S23" s="6">
        <v>32.228999999999999</v>
      </c>
      <c r="T23">
        <f>S23*1000</f>
        <v>32229</v>
      </c>
      <c r="U23" s="38" t="s">
        <v>26</v>
      </c>
      <c r="W23" s="5" t="s">
        <v>3</v>
      </c>
      <c r="X23" s="35">
        <v>17.179000000000002</v>
      </c>
      <c r="Z23" s="5" t="s">
        <v>3</v>
      </c>
      <c r="AA23" s="36" t="s">
        <v>142</v>
      </c>
    </row>
    <row r="24" spans="1:32" ht="15.75" thickBot="1">
      <c r="C24" s="5" t="s">
        <v>4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33</v>
      </c>
      <c r="L24" s="6" t="s">
        <v>34</v>
      </c>
      <c r="M24">
        <v>239</v>
      </c>
      <c r="N24" s="38">
        <f t="shared" ref="N24:N30" si="11">M24/10</f>
        <v>23.9</v>
      </c>
      <c r="O24" s="24" t="s">
        <v>4</v>
      </c>
      <c r="P24" s="6" t="s">
        <v>89</v>
      </c>
      <c r="R24" s="26" t="s">
        <v>4</v>
      </c>
      <c r="S24" s="6">
        <v>17.867999999999999</v>
      </c>
      <c r="T24">
        <f t="shared" ref="T24:T34" si="12">S24*1000</f>
        <v>17868</v>
      </c>
      <c r="U24" s="38" t="s">
        <v>27</v>
      </c>
      <c r="W24" s="5" t="s">
        <v>4</v>
      </c>
      <c r="X24" s="23">
        <v>12.305</v>
      </c>
      <c r="Z24" s="5" t="s">
        <v>4</v>
      </c>
      <c r="AA24" s="36" t="s">
        <v>143</v>
      </c>
    </row>
    <row r="25" spans="1:32" ht="15.75" thickBot="1">
      <c r="C25" s="5" t="s">
        <v>5</v>
      </c>
      <c r="D25" s="2" t="s">
        <v>35</v>
      </c>
      <c r="E25" s="2" t="s">
        <v>36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41</v>
      </c>
      <c r="K25" s="2" t="s">
        <v>42</v>
      </c>
      <c r="L25" s="6" t="s">
        <v>43</v>
      </c>
      <c r="M25">
        <v>219</v>
      </c>
      <c r="N25" s="38">
        <f t="shared" si="11"/>
        <v>21.9</v>
      </c>
      <c r="O25" s="24" t="s">
        <v>5</v>
      </c>
      <c r="P25" s="6" t="s">
        <v>102</v>
      </c>
      <c r="R25" s="26" t="s">
        <v>5</v>
      </c>
      <c r="S25" s="6">
        <v>40.987000000000002</v>
      </c>
      <c r="T25">
        <f>S25*1000</f>
        <v>40987</v>
      </c>
      <c r="U25" s="38" t="s">
        <v>28</v>
      </c>
      <c r="W25" s="5" t="s">
        <v>5</v>
      </c>
      <c r="X25" s="23">
        <v>28.132000000000001</v>
      </c>
      <c r="Z25" s="5" t="s">
        <v>5</v>
      </c>
      <c r="AA25" s="36" t="s">
        <v>144</v>
      </c>
    </row>
    <row r="26" spans="1:32" ht="15.75" thickBot="1">
      <c r="C26" s="5" t="s">
        <v>6</v>
      </c>
      <c r="D26" s="2" t="s">
        <v>44</v>
      </c>
      <c r="E26" s="2" t="s">
        <v>45</v>
      </c>
      <c r="F26" s="2" t="s">
        <v>46</v>
      </c>
      <c r="G26" s="2" t="s">
        <v>47</v>
      </c>
      <c r="H26" s="2" t="s">
        <v>23</v>
      </c>
      <c r="I26" s="2" t="s">
        <v>48</v>
      </c>
      <c r="J26" s="2" t="s">
        <v>20</v>
      </c>
      <c r="K26" s="2" t="s">
        <v>49</v>
      </c>
      <c r="L26" s="6" t="s">
        <v>50</v>
      </c>
      <c r="M26">
        <v>152</v>
      </c>
      <c r="N26" s="38">
        <f t="shared" si="11"/>
        <v>15.2</v>
      </c>
      <c r="O26" s="24" t="s">
        <v>6</v>
      </c>
      <c r="P26" s="6" t="s">
        <v>88</v>
      </c>
      <c r="R26" s="26" t="s">
        <v>6</v>
      </c>
      <c r="S26" s="6">
        <v>45.738999999999997</v>
      </c>
      <c r="T26">
        <f>S26*1000</f>
        <v>45739</v>
      </c>
      <c r="U26" s="38" t="s">
        <v>29</v>
      </c>
      <c r="W26" s="5" t="s">
        <v>6</v>
      </c>
      <c r="X26" s="23">
        <v>30.166000000000004</v>
      </c>
      <c r="Z26" s="5" t="s">
        <v>6</v>
      </c>
      <c r="AA26" s="36" t="s">
        <v>145</v>
      </c>
    </row>
    <row r="27" spans="1:32" ht="15.75" thickBot="1">
      <c r="C27" s="5" t="s">
        <v>7</v>
      </c>
      <c r="D27" s="2" t="s">
        <v>51</v>
      </c>
      <c r="E27" s="2" t="s">
        <v>52</v>
      </c>
      <c r="F27" s="2" t="s">
        <v>30</v>
      </c>
      <c r="G27" s="2" t="s">
        <v>53</v>
      </c>
      <c r="H27" s="2" t="s">
        <v>54</v>
      </c>
      <c r="I27" s="2" t="s">
        <v>55</v>
      </c>
      <c r="J27" s="2" t="s">
        <v>56</v>
      </c>
      <c r="K27" s="2" t="s">
        <v>28</v>
      </c>
      <c r="L27" s="6" t="s">
        <v>57</v>
      </c>
      <c r="M27">
        <v>166</v>
      </c>
      <c r="N27" s="38">
        <f t="shared" si="11"/>
        <v>16.600000000000001</v>
      </c>
      <c r="O27" s="24" t="s">
        <v>7</v>
      </c>
      <c r="P27" s="6" t="s">
        <v>103</v>
      </c>
      <c r="R27" s="26" t="s">
        <v>7</v>
      </c>
      <c r="S27" s="6">
        <v>56.753999999999998</v>
      </c>
      <c r="T27">
        <f t="shared" si="12"/>
        <v>56754</v>
      </c>
      <c r="U27" s="38" t="s">
        <v>30</v>
      </c>
      <c r="W27" s="5" t="s">
        <v>7</v>
      </c>
      <c r="X27" s="23">
        <v>37.451999999999998</v>
      </c>
      <c r="Z27" s="5" t="s">
        <v>7</v>
      </c>
      <c r="AA27" s="36" t="s">
        <v>142</v>
      </c>
    </row>
    <row r="28" spans="1:32" ht="15.75" thickBot="1">
      <c r="C28" s="5" t="s">
        <v>8</v>
      </c>
      <c r="D28" s="2" t="s">
        <v>58</v>
      </c>
      <c r="E28" s="2" t="s">
        <v>59</v>
      </c>
      <c r="F28" s="2" t="s">
        <v>55</v>
      </c>
      <c r="G28" s="2" t="s">
        <v>60</v>
      </c>
      <c r="H28" s="2" t="s">
        <v>61</v>
      </c>
      <c r="I28" s="2" t="s">
        <v>57</v>
      </c>
      <c r="J28" s="2" t="s">
        <v>62</v>
      </c>
      <c r="K28" s="2" t="s">
        <v>63</v>
      </c>
      <c r="L28" s="6" t="s">
        <v>64</v>
      </c>
      <c r="M28">
        <v>195</v>
      </c>
      <c r="N28" s="38">
        <f t="shared" si="11"/>
        <v>19.5</v>
      </c>
      <c r="O28" s="24" t="s">
        <v>8</v>
      </c>
      <c r="P28" s="6" t="s">
        <v>104</v>
      </c>
      <c r="R28" s="26" t="s">
        <v>8</v>
      </c>
      <c r="S28" s="6">
        <v>16.754999999999999</v>
      </c>
      <c r="T28">
        <f t="shared" si="12"/>
        <v>16755</v>
      </c>
      <c r="U28" s="38" t="s">
        <v>31</v>
      </c>
      <c r="W28" s="5" t="s">
        <v>8</v>
      </c>
      <c r="X28" s="23">
        <v>11.559000000000001</v>
      </c>
      <c r="Z28" s="5" t="s">
        <v>8</v>
      </c>
      <c r="AA28" s="36" t="s">
        <v>146</v>
      </c>
    </row>
    <row r="29" spans="1:32" ht="15.75" thickBot="1">
      <c r="C29" s="5" t="s">
        <v>9</v>
      </c>
      <c r="D29" s="2" t="s">
        <v>65</v>
      </c>
      <c r="E29" s="2" t="s">
        <v>66</v>
      </c>
      <c r="F29" s="2" t="s">
        <v>28</v>
      </c>
      <c r="G29" s="2" t="s">
        <v>67</v>
      </c>
      <c r="H29" s="2" t="s">
        <v>68</v>
      </c>
      <c r="I29" s="2" t="s">
        <v>45</v>
      </c>
      <c r="J29" s="2" t="s">
        <v>21</v>
      </c>
      <c r="K29" s="2" t="s">
        <v>30</v>
      </c>
      <c r="L29" s="6" t="s">
        <v>48</v>
      </c>
      <c r="M29">
        <v>153</v>
      </c>
      <c r="N29" s="38">
        <f t="shared" si="11"/>
        <v>15.3</v>
      </c>
      <c r="O29" s="24" t="s">
        <v>9</v>
      </c>
      <c r="P29" s="6" t="s">
        <v>103</v>
      </c>
      <c r="R29" s="26" t="s">
        <v>9</v>
      </c>
      <c r="S29" s="6">
        <v>40.893999999999998</v>
      </c>
      <c r="T29">
        <f t="shared" si="12"/>
        <v>40894</v>
      </c>
      <c r="U29" s="38" t="s">
        <v>32</v>
      </c>
      <c r="W29" s="5" t="s">
        <v>9</v>
      </c>
      <c r="X29" s="23">
        <v>30.906999999999996</v>
      </c>
      <c r="Z29" s="5" t="s">
        <v>9</v>
      </c>
      <c r="AA29" s="36" t="s">
        <v>147</v>
      </c>
    </row>
    <row r="30" spans="1:32" ht="15.75" thickBot="1">
      <c r="C30" s="5" t="s">
        <v>10</v>
      </c>
      <c r="D30" s="2" t="s">
        <v>69</v>
      </c>
      <c r="E30" s="2" t="s">
        <v>70</v>
      </c>
      <c r="F30" s="2" t="s">
        <v>67</v>
      </c>
      <c r="G30" s="2" t="s">
        <v>71</v>
      </c>
      <c r="H30" s="2" t="s">
        <v>72</v>
      </c>
      <c r="I30" s="2" t="s">
        <v>73</v>
      </c>
      <c r="J30" s="2" t="s">
        <v>74</v>
      </c>
      <c r="K30" s="2" t="s">
        <v>75</v>
      </c>
      <c r="L30" s="6" t="s">
        <v>65</v>
      </c>
      <c r="M30">
        <v>63</v>
      </c>
      <c r="N30" s="38">
        <f t="shared" si="11"/>
        <v>6.3</v>
      </c>
      <c r="O30" s="24" t="s">
        <v>10</v>
      </c>
      <c r="P30" s="6" t="s">
        <v>39</v>
      </c>
      <c r="R30" s="26" t="s">
        <v>10</v>
      </c>
      <c r="S30" s="6">
        <v>8.1489999999999991</v>
      </c>
      <c r="T30">
        <f t="shared" si="12"/>
        <v>8148.9999999999991</v>
      </c>
      <c r="U30" s="38" t="s">
        <v>33</v>
      </c>
      <c r="W30" s="5" t="s">
        <v>10</v>
      </c>
      <c r="X30" s="23">
        <v>6.7919999999999998</v>
      </c>
      <c r="Z30" s="5" t="s">
        <v>10</v>
      </c>
      <c r="AA30" s="36" t="s">
        <v>148</v>
      </c>
    </row>
    <row r="31" spans="1:32" ht="15.75" thickBot="1">
      <c r="C31" s="5" t="s">
        <v>11</v>
      </c>
      <c r="D31" s="2" t="s">
        <v>76</v>
      </c>
      <c r="E31" s="2" t="s">
        <v>77</v>
      </c>
      <c r="F31" s="2" t="s">
        <v>78</v>
      </c>
      <c r="G31" s="2" t="s">
        <v>79</v>
      </c>
      <c r="H31" s="2" t="s">
        <v>80</v>
      </c>
      <c r="I31" s="2" t="s">
        <v>81</v>
      </c>
      <c r="J31" s="2" t="s">
        <v>82</v>
      </c>
      <c r="K31" s="2" t="s">
        <v>83</v>
      </c>
      <c r="L31" s="6" t="s">
        <v>32</v>
      </c>
      <c r="O31" s="24" t="s">
        <v>11</v>
      </c>
      <c r="P31" s="6" t="s">
        <v>88</v>
      </c>
      <c r="R31" s="26" t="s">
        <v>11</v>
      </c>
      <c r="S31" s="6">
        <v>19.568999999999999</v>
      </c>
      <c r="T31">
        <f t="shared" si="12"/>
        <v>19569</v>
      </c>
      <c r="U31" s="38" t="s">
        <v>34</v>
      </c>
      <c r="W31" s="5" t="s">
        <v>11</v>
      </c>
      <c r="X31" s="23">
        <v>15.238999999999997</v>
      </c>
      <c r="Z31" s="5" t="s">
        <v>11</v>
      </c>
      <c r="AA31" s="36" t="s">
        <v>144</v>
      </c>
    </row>
    <row r="32" spans="1:32" ht="15.75" thickBot="1">
      <c r="C32" s="5" t="s">
        <v>12</v>
      </c>
      <c r="D32" s="2" t="s">
        <v>84</v>
      </c>
      <c r="E32" s="2" t="s">
        <v>85</v>
      </c>
      <c r="F32" s="2" t="s">
        <v>31</v>
      </c>
      <c r="G32" s="2" t="s">
        <v>17</v>
      </c>
      <c r="H32" s="2" t="s">
        <v>86</v>
      </c>
      <c r="I32" s="2" t="s">
        <v>87</v>
      </c>
      <c r="J32" s="2" t="s">
        <v>45</v>
      </c>
      <c r="K32" s="2" t="s">
        <v>42</v>
      </c>
      <c r="L32" s="6" t="s">
        <v>23</v>
      </c>
      <c r="O32" s="24" t="s">
        <v>12</v>
      </c>
      <c r="P32" s="6" t="s">
        <v>105</v>
      </c>
      <c r="R32" s="26" t="s">
        <v>12</v>
      </c>
      <c r="S32" s="6">
        <v>32.439</v>
      </c>
      <c r="T32">
        <f>S32*1000</f>
        <v>32439</v>
      </c>
      <c r="W32" s="5" t="s">
        <v>12</v>
      </c>
      <c r="X32" s="23">
        <v>26.808</v>
      </c>
      <c r="Z32" s="5" t="s">
        <v>12</v>
      </c>
      <c r="AA32" s="36" t="s">
        <v>142</v>
      </c>
    </row>
    <row r="33" spans="3:27" ht="15.75" thickBot="1">
      <c r="C33" s="5" t="s">
        <v>13</v>
      </c>
      <c r="D33" s="2" t="s">
        <v>88</v>
      </c>
      <c r="E33" s="2" t="s">
        <v>89</v>
      </c>
      <c r="F33" s="2" t="s">
        <v>90</v>
      </c>
      <c r="G33" s="2" t="s">
        <v>76</v>
      </c>
      <c r="H33" s="2" t="s">
        <v>70</v>
      </c>
      <c r="I33" s="2" t="s">
        <v>91</v>
      </c>
      <c r="J33" s="2" t="s">
        <v>59</v>
      </c>
      <c r="K33" s="2" t="s">
        <v>92</v>
      </c>
      <c r="L33" s="6" t="s">
        <v>75</v>
      </c>
      <c r="O33" s="24" t="s">
        <v>13</v>
      </c>
      <c r="P33" s="6" t="s">
        <v>106</v>
      </c>
      <c r="R33" s="26" t="s">
        <v>13</v>
      </c>
      <c r="S33" s="6">
        <v>123.218</v>
      </c>
      <c r="T33">
        <f t="shared" si="12"/>
        <v>123218</v>
      </c>
      <c r="W33" s="5" t="s">
        <v>13</v>
      </c>
      <c r="X33" s="23">
        <v>76.704999999999998</v>
      </c>
      <c r="Z33" s="5" t="s">
        <v>13</v>
      </c>
      <c r="AA33" s="36" t="s">
        <v>145</v>
      </c>
    </row>
    <row r="34" spans="3:27" ht="15.75" thickBot="1">
      <c r="C34" s="17" t="s">
        <v>14</v>
      </c>
      <c r="D34" s="18" t="s">
        <v>93</v>
      </c>
      <c r="E34" s="18" t="s">
        <v>94</v>
      </c>
      <c r="F34" s="18" t="s">
        <v>95</v>
      </c>
      <c r="G34" s="18" t="s">
        <v>96</v>
      </c>
      <c r="H34" s="18" t="s">
        <v>77</v>
      </c>
      <c r="I34" s="18" t="s">
        <v>97</v>
      </c>
      <c r="J34" s="18" t="s">
        <v>98</v>
      </c>
      <c r="K34" s="18" t="s">
        <v>42</v>
      </c>
      <c r="L34" s="19" t="s">
        <v>85</v>
      </c>
      <c r="O34" s="25" t="s">
        <v>14</v>
      </c>
      <c r="P34" s="11" t="s">
        <v>107</v>
      </c>
      <c r="R34" s="27" t="s">
        <v>14</v>
      </c>
      <c r="S34" s="11">
        <v>38.503</v>
      </c>
      <c r="T34">
        <f t="shared" si="12"/>
        <v>38503</v>
      </c>
      <c r="W34" s="5" t="s">
        <v>14</v>
      </c>
      <c r="X34" s="23">
        <v>24.341000000000001</v>
      </c>
      <c r="Z34" s="5" t="s">
        <v>14</v>
      </c>
      <c r="AA34" s="36" t="s">
        <v>147</v>
      </c>
    </row>
    <row r="35" spans="3:27" ht="15.75" thickBot="1">
      <c r="Z35" s="17" t="s">
        <v>139</v>
      </c>
      <c r="AA35" s="37" t="s">
        <v>144</v>
      </c>
    </row>
    <row r="38" spans="3:27" ht="75.75" thickBot="1">
      <c r="C38" s="70"/>
      <c r="D38" s="20" t="s">
        <v>110</v>
      </c>
    </row>
    <row r="39" spans="3:27" ht="15.75" thickBot="1">
      <c r="C39" s="71"/>
      <c r="D39" s="21">
        <v>2023</v>
      </c>
    </row>
    <row r="40" spans="3:27" ht="43.5" thickBot="1">
      <c r="C40" s="22" t="s">
        <v>111</v>
      </c>
      <c r="D40" s="6" t="s">
        <v>112</v>
      </c>
    </row>
    <row r="41" spans="3:27" ht="15.75" thickBot="1">
      <c r="C41" s="22" t="s">
        <v>127</v>
      </c>
      <c r="D41" s="6" t="s">
        <v>128</v>
      </c>
      <c r="F41" s="5" t="s">
        <v>3</v>
      </c>
      <c r="G41" s="6">
        <v>5502.2932000000001</v>
      </c>
    </row>
    <row r="42" spans="3:27" ht="15.75" thickBot="1">
      <c r="C42" s="22" t="s">
        <v>113</v>
      </c>
      <c r="D42" s="6" t="s">
        <v>114</v>
      </c>
      <c r="F42" s="5" t="s">
        <v>4</v>
      </c>
      <c r="G42" s="6">
        <v>5470.2106999999996</v>
      </c>
    </row>
    <row r="43" spans="3:27" ht="29.25" thickBot="1">
      <c r="C43" s="22" t="s">
        <v>115</v>
      </c>
      <c r="D43" s="6" t="s">
        <v>116</v>
      </c>
      <c r="F43" s="5" t="s">
        <v>5</v>
      </c>
      <c r="G43" s="6">
        <v>9979.5663999999997</v>
      </c>
    </row>
    <row r="44" spans="3:27" ht="29.25" thickBot="1">
      <c r="C44" s="22" t="s">
        <v>123</v>
      </c>
      <c r="D44" s="6" t="s">
        <v>124</v>
      </c>
      <c r="F44" s="5" t="s">
        <v>6</v>
      </c>
      <c r="G44" s="6">
        <v>5995.8212999999996</v>
      </c>
    </row>
    <row r="45" spans="3:27" ht="15.75" thickBot="1">
      <c r="C45" s="22" t="s">
        <v>129</v>
      </c>
      <c r="D45" s="6" t="s">
        <v>130</v>
      </c>
      <c r="F45" s="5" t="s">
        <v>7</v>
      </c>
      <c r="G45" s="6">
        <v>9573.0409</v>
      </c>
    </row>
    <row r="46" spans="3:27" ht="29.25" thickBot="1">
      <c r="C46" s="22" t="s">
        <v>131</v>
      </c>
      <c r="D46" s="6" t="s">
        <v>132</v>
      </c>
      <c r="F46" s="5" t="s">
        <v>8</v>
      </c>
      <c r="G46" s="6">
        <v>7853.0937999999996</v>
      </c>
    </row>
    <row r="47" spans="3:27" ht="29.25" thickBot="1">
      <c r="C47" s="22" t="s">
        <v>133</v>
      </c>
      <c r="D47" s="6" t="s">
        <v>134</v>
      </c>
      <c r="F47" s="5" t="s">
        <v>9</v>
      </c>
      <c r="G47" s="6">
        <v>6088.9769999999999</v>
      </c>
    </row>
    <row r="48" spans="3:27" ht="29.25" thickBot="1">
      <c r="C48" s="22" t="s">
        <v>117</v>
      </c>
      <c r="D48" s="6" t="s">
        <v>118</v>
      </c>
      <c r="F48" s="5" t="s">
        <v>10</v>
      </c>
      <c r="G48" s="6">
        <v>5048.7101000000002</v>
      </c>
    </row>
    <row r="49" spans="2:31" ht="29.25" thickBot="1">
      <c r="C49" s="22" t="s">
        <v>119</v>
      </c>
      <c r="D49" s="6" t="s">
        <v>120</v>
      </c>
      <c r="F49" s="5" t="s">
        <v>11</v>
      </c>
      <c r="G49" s="6">
        <v>6374.2816999999995</v>
      </c>
    </row>
    <row r="50" spans="2:31" ht="29.25" thickBot="1">
      <c r="C50" s="22" t="s">
        <v>121</v>
      </c>
      <c r="D50" s="6" t="s">
        <v>122</v>
      </c>
      <c r="F50" s="5" t="s">
        <v>12</v>
      </c>
      <c r="G50" s="6">
        <v>7087.7734</v>
      </c>
    </row>
    <row r="51" spans="2:31" ht="29.25" thickBot="1">
      <c r="C51" s="22" t="s">
        <v>125</v>
      </c>
      <c r="D51" s="6" t="s">
        <v>126</v>
      </c>
      <c r="F51" s="5" t="s">
        <v>13</v>
      </c>
      <c r="G51" s="6">
        <v>12565.882799999999</v>
      </c>
    </row>
    <row r="52" spans="2:31" ht="15.75" thickBot="1">
      <c r="C52" s="28" t="s">
        <v>135</v>
      </c>
      <c r="D52" s="11" t="s">
        <v>136</v>
      </c>
      <c r="F52" s="17" t="s">
        <v>14</v>
      </c>
      <c r="G52" s="11">
        <v>8938.7402000000002</v>
      </c>
    </row>
    <row r="55" spans="2:31" ht="15.75" thickBot="1">
      <c r="C55" s="70"/>
      <c r="D55" s="72" t="s">
        <v>137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 spans="2:31" ht="15.75" thickBot="1">
      <c r="C56" s="71"/>
      <c r="D56" s="1">
        <v>2000</v>
      </c>
      <c r="E56" s="1">
        <v>2001</v>
      </c>
      <c r="F56" s="1">
        <v>2002</v>
      </c>
      <c r="G56" s="1">
        <v>2003</v>
      </c>
      <c r="H56" s="1">
        <v>2004</v>
      </c>
      <c r="I56" s="1">
        <v>2005</v>
      </c>
      <c r="J56" s="1">
        <v>2006</v>
      </c>
      <c r="K56" s="1">
        <v>2007</v>
      </c>
      <c r="L56" s="1">
        <v>2008</v>
      </c>
      <c r="M56" s="1">
        <v>2009</v>
      </c>
      <c r="N56" s="1">
        <v>2010</v>
      </c>
      <c r="O56" s="1">
        <v>2011</v>
      </c>
      <c r="P56" s="1">
        <v>2012</v>
      </c>
      <c r="Q56" s="1">
        <v>2013</v>
      </c>
      <c r="R56" s="1">
        <v>2014</v>
      </c>
      <c r="S56" s="1">
        <v>2015</v>
      </c>
      <c r="T56" s="1">
        <v>2016</v>
      </c>
      <c r="U56" s="1">
        <v>2017</v>
      </c>
      <c r="V56" s="1">
        <v>2018</v>
      </c>
      <c r="W56" s="1">
        <v>2019</v>
      </c>
      <c r="X56" s="1">
        <v>2020</v>
      </c>
      <c r="Y56" s="1">
        <v>2021</v>
      </c>
      <c r="Z56" s="1">
        <v>2022</v>
      </c>
      <c r="AA56" s="4">
        <v>2023</v>
      </c>
      <c r="AD56" s="39">
        <v>76229.475600000005</v>
      </c>
      <c r="AE56" s="39">
        <v>30130.280999999999</v>
      </c>
    </row>
    <row r="57" spans="2:31" ht="15.75" thickBot="1">
      <c r="C57" s="5" t="s">
        <v>3</v>
      </c>
      <c r="D57" s="29">
        <v>19246.71</v>
      </c>
      <c r="E57" s="29">
        <v>21513.6885</v>
      </c>
      <c r="F57" s="29">
        <v>23264.9146</v>
      </c>
      <c r="G57" s="29">
        <v>25533.969300000001</v>
      </c>
      <c r="H57" s="29">
        <v>27352.768599999999</v>
      </c>
      <c r="I57" s="29">
        <v>28865.422200000001</v>
      </c>
      <c r="J57" s="29">
        <v>30591.801500000001</v>
      </c>
      <c r="K57" s="29">
        <v>33651.2137</v>
      </c>
      <c r="L57" s="29">
        <v>37378.746099999997</v>
      </c>
      <c r="M57" s="29">
        <v>39268.748099999997</v>
      </c>
      <c r="N57" s="29">
        <v>43806.851499999997</v>
      </c>
      <c r="O57" s="29">
        <v>45412.120199999998</v>
      </c>
      <c r="P57" s="29">
        <v>42152.953000000001</v>
      </c>
      <c r="Q57" s="29">
        <v>43743.7</v>
      </c>
      <c r="R57" s="29">
        <v>45388.287600000003</v>
      </c>
      <c r="S57" s="29">
        <v>47437.175799999997</v>
      </c>
      <c r="T57" s="29">
        <v>49793.625200000002</v>
      </c>
      <c r="U57" s="29">
        <v>51280.783300000003</v>
      </c>
      <c r="V57" s="29">
        <v>50764.857900000003</v>
      </c>
      <c r="W57" s="29">
        <v>51516.326300000001</v>
      </c>
      <c r="X57" s="29">
        <v>49678.835400000004</v>
      </c>
      <c r="Y57" s="29">
        <v>56882.147499999999</v>
      </c>
      <c r="Z57" s="29">
        <v>66902.665299999993</v>
      </c>
      <c r="AA57" s="31">
        <v>73901</v>
      </c>
      <c r="AB57" s="5" t="s">
        <v>3</v>
      </c>
      <c r="AD57" s="39">
        <v>75709.094800000006</v>
      </c>
      <c r="AE57" s="39">
        <v>30063.121800000001</v>
      </c>
    </row>
    <row r="58" spans="2:31" ht="15.75" thickBot="1">
      <c r="B58">
        <v>1</v>
      </c>
      <c r="C58" s="5" t="s">
        <v>4</v>
      </c>
      <c r="D58" s="29">
        <v>14017.564399999999</v>
      </c>
      <c r="E58" s="29">
        <v>15564.809300000001</v>
      </c>
      <c r="F58" s="29">
        <v>16953.239699999998</v>
      </c>
      <c r="G58" s="29">
        <v>18599.514800000001</v>
      </c>
      <c r="H58" s="29">
        <v>19863.926500000001</v>
      </c>
      <c r="I58" s="29">
        <v>20900.9725</v>
      </c>
      <c r="J58" s="29">
        <v>22318.820299999999</v>
      </c>
      <c r="K58" s="29">
        <v>24648.470499999999</v>
      </c>
      <c r="L58" s="29">
        <v>27712.127100000002</v>
      </c>
      <c r="M58" s="29">
        <v>29709.781999999999</v>
      </c>
      <c r="N58" s="29">
        <v>33464.938099999999</v>
      </c>
      <c r="O58" s="29">
        <v>32119.669099999999</v>
      </c>
      <c r="P58" s="29">
        <v>36483.627099999998</v>
      </c>
      <c r="Q58" s="29">
        <v>37147.991399999999</v>
      </c>
      <c r="R58" s="29">
        <v>37939.370300000002</v>
      </c>
      <c r="S58" s="29">
        <v>40636.236700000001</v>
      </c>
      <c r="T58" s="29">
        <v>42779.296000000002</v>
      </c>
      <c r="U58" s="29">
        <v>42936.0069</v>
      </c>
      <c r="V58" s="29">
        <v>41999.9853</v>
      </c>
      <c r="W58" s="29">
        <v>40787.815399999999</v>
      </c>
      <c r="X58" s="29">
        <v>40380.0527</v>
      </c>
      <c r="Y58" s="29">
        <v>43233.068200000002</v>
      </c>
      <c r="Z58" s="29">
        <v>50271.020199999999</v>
      </c>
      <c r="AA58" s="31">
        <v>56301.693299999999</v>
      </c>
      <c r="AB58" s="5" t="s">
        <v>4</v>
      </c>
      <c r="AD58" s="39">
        <v>81443.873399999997</v>
      </c>
      <c r="AE58" s="39">
        <v>30909.394199999999</v>
      </c>
    </row>
    <row r="59" spans="2:31" ht="15.75" thickBot="1">
      <c r="B59">
        <v>2</v>
      </c>
      <c r="C59" s="5" t="s">
        <v>5</v>
      </c>
      <c r="D59" s="29">
        <v>44141.055099999998</v>
      </c>
      <c r="E59" s="29">
        <v>50560.277099999999</v>
      </c>
      <c r="F59" s="29">
        <v>53448.018700000001</v>
      </c>
      <c r="G59" s="29">
        <v>56310.848899999997</v>
      </c>
      <c r="H59" s="29">
        <v>61490.822</v>
      </c>
      <c r="I59" s="29">
        <v>66787.797399999996</v>
      </c>
      <c r="J59" s="29">
        <v>72343.5288</v>
      </c>
      <c r="K59" s="29">
        <v>82014.975000000006</v>
      </c>
      <c r="L59" s="29">
        <v>90105.866399999999</v>
      </c>
      <c r="M59" s="29">
        <v>95352.670299999998</v>
      </c>
      <c r="N59" s="29">
        <v>108932.0082</v>
      </c>
      <c r="O59" s="29">
        <v>107656.2567</v>
      </c>
      <c r="P59" s="29">
        <v>109256.6093</v>
      </c>
      <c r="Q59" s="29">
        <v>112771.3129</v>
      </c>
      <c r="R59" s="29">
        <v>111282.45389999999</v>
      </c>
      <c r="S59" s="29">
        <v>121657.00810000001</v>
      </c>
      <c r="T59" s="29">
        <v>126401.4008</v>
      </c>
      <c r="U59" s="29">
        <v>136720.87530000001</v>
      </c>
      <c r="V59" s="29">
        <v>139595.5245</v>
      </c>
      <c r="W59" s="29">
        <v>145394.91959999999</v>
      </c>
      <c r="X59" s="29">
        <v>140856.79730000001</v>
      </c>
      <c r="Y59" s="29">
        <v>161695.95929999999</v>
      </c>
      <c r="Z59" s="29">
        <v>192342.5612</v>
      </c>
      <c r="AA59" s="31">
        <v>212544.63740000001</v>
      </c>
      <c r="AB59" s="5" t="s">
        <v>5</v>
      </c>
      <c r="AD59" s="39">
        <v>86381.332399999999</v>
      </c>
      <c r="AE59" s="39">
        <v>37234.490299999998</v>
      </c>
    </row>
    <row r="60" spans="2:31" ht="15.75" thickBot="1">
      <c r="C60" s="5" t="s">
        <v>6</v>
      </c>
      <c r="D60" s="29">
        <v>34261.291100000002</v>
      </c>
      <c r="E60" s="29">
        <v>38010.062599999997</v>
      </c>
      <c r="F60" s="29">
        <v>40756.910600000003</v>
      </c>
      <c r="G60" s="29">
        <v>45251.157899999998</v>
      </c>
      <c r="H60" s="29">
        <v>49178.655700000003</v>
      </c>
      <c r="I60" s="29">
        <v>53186.717700000001</v>
      </c>
      <c r="J60" s="29">
        <v>56813.250599999999</v>
      </c>
      <c r="K60" s="29">
        <v>61363.533000000003</v>
      </c>
      <c r="L60" s="29">
        <v>69369.071299999996</v>
      </c>
      <c r="M60" s="29">
        <v>73614.428499999995</v>
      </c>
      <c r="N60" s="29">
        <v>86117.938399999999</v>
      </c>
      <c r="O60" s="29">
        <v>84243.246799999994</v>
      </c>
      <c r="P60" s="29">
        <v>82416.9611</v>
      </c>
      <c r="Q60" s="29">
        <v>88595.338300000003</v>
      </c>
      <c r="R60" s="29">
        <v>89058.205600000001</v>
      </c>
      <c r="S60" s="29">
        <v>86909.778699999995</v>
      </c>
      <c r="T60" s="29">
        <v>90995.784100000004</v>
      </c>
      <c r="U60" s="29">
        <v>92042.373200000002</v>
      </c>
      <c r="V60" s="29">
        <v>94930.326799999995</v>
      </c>
      <c r="W60" s="29">
        <v>96866.220400000006</v>
      </c>
      <c r="X60" s="29">
        <v>96823.380900000004</v>
      </c>
      <c r="Y60" s="29">
        <v>103473.46649999999</v>
      </c>
      <c r="Z60" s="29">
        <v>120337.8316</v>
      </c>
      <c r="AA60" s="31">
        <v>131747.8425</v>
      </c>
      <c r="AB60" s="5" t="s">
        <v>6</v>
      </c>
      <c r="AD60" s="39">
        <v>81760.824800000002</v>
      </c>
      <c r="AE60" s="39">
        <v>32388.282800000001</v>
      </c>
    </row>
    <row r="61" spans="2:31" ht="15.75" thickBot="1">
      <c r="C61" s="5" t="s">
        <v>7</v>
      </c>
      <c r="D61" s="29">
        <v>50805.801599999999</v>
      </c>
      <c r="E61" s="29">
        <v>55828.987000000001</v>
      </c>
      <c r="F61" s="29">
        <v>60515.839099999997</v>
      </c>
      <c r="G61" s="29">
        <v>65922.090200000006</v>
      </c>
      <c r="H61" s="29">
        <v>71234.441200000001</v>
      </c>
      <c r="I61" s="29">
        <v>75513.848299999998</v>
      </c>
      <c r="J61" s="29">
        <v>81085.419500000004</v>
      </c>
      <c r="K61" s="29">
        <v>88866.100200000001</v>
      </c>
      <c r="L61" s="29">
        <v>97010.126900000003</v>
      </c>
      <c r="M61" s="29">
        <v>97250.095100000006</v>
      </c>
      <c r="N61" s="29">
        <v>112924.03260000001</v>
      </c>
      <c r="O61" s="29">
        <v>131631.85010000001</v>
      </c>
      <c r="P61" s="29">
        <v>146923.39509999999</v>
      </c>
      <c r="Q61" s="29">
        <v>156564.14509999999</v>
      </c>
      <c r="R61" s="29">
        <v>162646.56330000001</v>
      </c>
      <c r="S61" s="29">
        <v>146964.02799999999</v>
      </c>
      <c r="T61" s="29">
        <v>142903.9516</v>
      </c>
      <c r="U61" s="29">
        <v>144681.20790000001</v>
      </c>
      <c r="V61" s="29">
        <v>158292.58259999999</v>
      </c>
      <c r="W61" s="29">
        <v>160163.5625</v>
      </c>
      <c r="X61" s="29">
        <v>155840.35690000001</v>
      </c>
      <c r="Y61" s="29">
        <v>174800.89939999999</v>
      </c>
      <c r="Z61" s="29">
        <v>195374.98069999999</v>
      </c>
      <c r="AA61" s="31">
        <v>217664.5876</v>
      </c>
      <c r="AB61" s="5" t="s">
        <v>7</v>
      </c>
      <c r="AD61" s="39">
        <v>91366.079400000002</v>
      </c>
      <c r="AE61" s="39">
        <v>34832.147499999999</v>
      </c>
    </row>
    <row r="62" spans="2:31" ht="15.75" thickBot="1">
      <c r="C62" s="5" t="s">
        <v>8</v>
      </c>
      <c r="D62" s="29">
        <v>10605.1733</v>
      </c>
      <c r="E62" s="29">
        <v>12296.062</v>
      </c>
      <c r="F62" s="29">
        <v>13554.4629</v>
      </c>
      <c r="G62" s="29">
        <v>14563.630300000001</v>
      </c>
      <c r="H62" s="29">
        <v>15622.3374</v>
      </c>
      <c r="I62" s="29">
        <v>16542.2235</v>
      </c>
      <c r="J62" s="29">
        <v>17864.026399999999</v>
      </c>
      <c r="K62" s="29">
        <v>19330.155999999999</v>
      </c>
      <c r="L62" s="29">
        <v>21148.0265</v>
      </c>
      <c r="M62" s="29">
        <v>22198.454000000002</v>
      </c>
      <c r="N62" s="29">
        <v>24065.078600000001</v>
      </c>
      <c r="O62" s="29">
        <v>28950.192500000001</v>
      </c>
      <c r="P62" s="29">
        <v>31081.253700000001</v>
      </c>
      <c r="Q62" s="29">
        <v>30711.964899999999</v>
      </c>
      <c r="R62" s="29">
        <v>31251.172699999999</v>
      </c>
      <c r="S62" s="29">
        <v>29758.5501</v>
      </c>
      <c r="T62" s="29">
        <v>30130.280999999999</v>
      </c>
      <c r="U62" s="29">
        <v>30063.121800000001</v>
      </c>
      <c r="V62" s="29">
        <v>30909.394199999999</v>
      </c>
      <c r="W62" s="29">
        <v>37234.490299999998</v>
      </c>
      <c r="X62" s="29">
        <v>32388.282800000001</v>
      </c>
      <c r="Y62" s="29">
        <v>34832.147499999999</v>
      </c>
      <c r="Z62" s="29">
        <v>40364.1607</v>
      </c>
      <c r="AA62" s="31">
        <v>44661</v>
      </c>
      <c r="AB62" s="5" t="s">
        <v>8</v>
      </c>
      <c r="AD62" s="39">
        <v>110460.15</v>
      </c>
      <c r="AE62" s="39">
        <v>40364.1607</v>
      </c>
    </row>
    <row r="63" spans="2:31" ht="15.75" thickBot="1">
      <c r="C63" s="5" t="s">
        <v>9</v>
      </c>
      <c r="D63" s="30">
        <v>26122.548299999999</v>
      </c>
      <c r="E63" s="30">
        <v>28328.298699999999</v>
      </c>
      <c r="F63" s="30">
        <v>30506.692599999998</v>
      </c>
      <c r="G63" s="30">
        <v>34033.497799999997</v>
      </c>
      <c r="H63" s="30">
        <v>36716.384700000002</v>
      </c>
      <c r="I63" s="30">
        <v>39685.383900000001</v>
      </c>
      <c r="J63" s="30">
        <v>42781.117700000003</v>
      </c>
      <c r="K63" s="30">
        <v>48653.830699999999</v>
      </c>
      <c r="L63" s="30">
        <v>53146.309099999999</v>
      </c>
      <c r="M63" s="30">
        <v>56470.493999999999</v>
      </c>
      <c r="N63" s="30">
        <v>59531.8315</v>
      </c>
      <c r="O63" s="30">
        <v>65618.196200000006</v>
      </c>
      <c r="P63" s="30">
        <v>66899.151800000007</v>
      </c>
      <c r="Q63" s="30">
        <v>69003.251699999993</v>
      </c>
      <c r="R63" s="30">
        <v>69157.481100000005</v>
      </c>
      <c r="S63" s="30">
        <v>70105.3992</v>
      </c>
      <c r="T63" s="30">
        <v>75549.213600000003</v>
      </c>
      <c r="U63" s="30">
        <v>73838.504799999995</v>
      </c>
      <c r="V63" s="30">
        <v>82724.294500000004</v>
      </c>
      <c r="W63" s="30">
        <v>81774.775200000004</v>
      </c>
      <c r="X63" s="30">
        <v>77867.421700000006</v>
      </c>
      <c r="Y63" s="30">
        <v>79456.147500000006</v>
      </c>
      <c r="Z63" s="30">
        <v>89756.160699999993</v>
      </c>
      <c r="AA63" s="32">
        <v>99976</v>
      </c>
      <c r="AB63" s="5" t="s">
        <v>9</v>
      </c>
      <c r="AD63" s="39">
        <v>124976.8838</v>
      </c>
      <c r="AE63" s="39">
        <v>44661</v>
      </c>
    </row>
    <row r="64" spans="2:31" ht="15.75" thickBot="1">
      <c r="B64">
        <v>3</v>
      </c>
      <c r="C64" s="5" t="s">
        <v>10</v>
      </c>
      <c r="D64" s="29">
        <v>9891.5472000000009</v>
      </c>
      <c r="E64" s="29">
        <v>11394.9946</v>
      </c>
      <c r="F64" s="29">
        <v>12641.5954</v>
      </c>
      <c r="G64" s="29">
        <v>13715.5617</v>
      </c>
      <c r="H64" s="29">
        <v>14645.2356</v>
      </c>
      <c r="I64" s="29">
        <v>15501.512699999999</v>
      </c>
      <c r="J64" s="29">
        <v>16658.3825</v>
      </c>
      <c r="K64" s="29">
        <v>18546.4421</v>
      </c>
      <c r="L64" s="29">
        <v>20435.9679</v>
      </c>
      <c r="M64" s="29">
        <v>21832.321199999998</v>
      </c>
      <c r="N64" s="29">
        <v>23814.575099999998</v>
      </c>
      <c r="O64" s="29">
        <v>25909.221399999999</v>
      </c>
      <c r="P64" s="29">
        <v>25111.150799999999</v>
      </c>
      <c r="Q64" s="29">
        <v>26863.260300000002</v>
      </c>
      <c r="R64" s="29">
        <v>23416.243699999999</v>
      </c>
      <c r="S64" s="29">
        <v>22558.86</v>
      </c>
      <c r="T64" s="29">
        <v>22268.260900000001</v>
      </c>
      <c r="U64" s="29">
        <v>23075.808099999998</v>
      </c>
      <c r="V64" s="29">
        <v>23355.341</v>
      </c>
      <c r="W64" s="29">
        <v>23767.9493</v>
      </c>
      <c r="X64" s="29">
        <v>20718.2565</v>
      </c>
      <c r="Y64" s="29">
        <v>23672.147499999999</v>
      </c>
      <c r="Z64" s="29">
        <v>26677.1607</v>
      </c>
      <c r="AA64" s="31">
        <v>29562</v>
      </c>
      <c r="AB64" s="5" t="s">
        <v>10</v>
      </c>
    </row>
    <row r="65" spans="1:28" ht="15.75" thickBot="1">
      <c r="B65">
        <v>4</v>
      </c>
      <c r="C65" s="5" t="s">
        <v>11</v>
      </c>
      <c r="D65" s="29">
        <v>15585.394200000001</v>
      </c>
      <c r="E65" s="29">
        <v>17968.162799999998</v>
      </c>
      <c r="F65" s="29">
        <v>19601.6813</v>
      </c>
      <c r="G65" s="29">
        <v>21208.231299999999</v>
      </c>
      <c r="H65" s="29">
        <v>22769.8685</v>
      </c>
      <c r="I65" s="29">
        <v>24267.5026</v>
      </c>
      <c r="J65" s="29">
        <v>26037.3495</v>
      </c>
      <c r="K65" s="29">
        <v>28925.271499999999</v>
      </c>
      <c r="L65" s="29">
        <v>32067.546600000001</v>
      </c>
      <c r="M65" s="29">
        <v>33777.900199999996</v>
      </c>
      <c r="N65" s="29">
        <v>34412.541299999997</v>
      </c>
      <c r="O65" s="29">
        <v>34883.319799999997</v>
      </c>
      <c r="P65" s="29">
        <v>37480.9303</v>
      </c>
      <c r="Q65" s="29">
        <v>36312.324399999998</v>
      </c>
      <c r="R65" s="29">
        <v>40210.265500000001</v>
      </c>
      <c r="S65" s="29">
        <v>41210.873899999999</v>
      </c>
      <c r="T65" s="29">
        <v>44740.255400000002</v>
      </c>
      <c r="U65" s="29">
        <v>44066.856599999999</v>
      </c>
      <c r="V65" s="29">
        <v>45631.285499999998</v>
      </c>
      <c r="W65" s="29">
        <v>48150.026599999997</v>
      </c>
      <c r="X65" s="29">
        <v>43670.145900000003</v>
      </c>
      <c r="Y65" s="29">
        <v>47722.147499999999</v>
      </c>
      <c r="Z65" s="29">
        <v>54892.1607</v>
      </c>
      <c r="AA65" s="31">
        <v>61033</v>
      </c>
      <c r="AB65" s="5" t="s">
        <v>11</v>
      </c>
    </row>
    <row r="66" spans="1:28" ht="15.75" thickBot="1">
      <c r="B66">
        <v>5</v>
      </c>
      <c r="C66" s="5" t="s">
        <v>12</v>
      </c>
      <c r="D66" s="29">
        <v>26342.979800000001</v>
      </c>
      <c r="E66" s="29">
        <v>29797.534800000001</v>
      </c>
      <c r="F66" s="29">
        <v>32421.264200000001</v>
      </c>
      <c r="G66" s="29">
        <v>36017.745300000002</v>
      </c>
      <c r="H66" s="29">
        <v>38815.465100000001</v>
      </c>
      <c r="I66" s="29">
        <v>41532.1564</v>
      </c>
      <c r="J66" s="29">
        <v>44362.047899999998</v>
      </c>
      <c r="K66" s="29">
        <v>47956.307399999998</v>
      </c>
      <c r="L66" s="29">
        <v>53264.8223</v>
      </c>
      <c r="M66" s="29">
        <v>57085.288699999997</v>
      </c>
      <c r="N66" s="29">
        <v>63927.7549</v>
      </c>
      <c r="O66" s="29">
        <v>68103.820699999997</v>
      </c>
      <c r="P66" s="29">
        <v>66353.812999999995</v>
      </c>
      <c r="Q66" s="29">
        <v>65363.361400000002</v>
      </c>
      <c r="R66" s="29">
        <v>63394.473700000002</v>
      </c>
      <c r="S66" s="29">
        <v>67102.584499999997</v>
      </c>
      <c r="T66" s="29">
        <v>69887.972099999999</v>
      </c>
      <c r="U66" s="29">
        <v>69727.988700000002</v>
      </c>
      <c r="V66" s="29">
        <v>72159.1397</v>
      </c>
      <c r="W66" s="29">
        <v>74336.667199999996</v>
      </c>
      <c r="X66" s="29">
        <v>71086.949600000007</v>
      </c>
      <c r="Y66" s="29">
        <v>79099.024600000004</v>
      </c>
      <c r="Z66" s="29">
        <v>95649.160699999993</v>
      </c>
      <c r="AA66" s="31">
        <v>103758</v>
      </c>
      <c r="AB66" s="5" t="s">
        <v>12</v>
      </c>
    </row>
    <row r="67" spans="1:28" ht="15.75" thickBot="1">
      <c r="B67">
        <v>7</v>
      </c>
      <c r="C67" s="5" t="s">
        <v>13</v>
      </c>
      <c r="D67" s="29">
        <v>163937.69070000001</v>
      </c>
      <c r="E67" s="29">
        <v>192691.4276</v>
      </c>
      <c r="F67" s="29">
        <v>210008.02189999999</v>
      </c>
      <c r="G67" s="29">
        <v>230795.04259999999</v>
      </c>
      <c r="H67" s="29">
        <v>251058.1955</v>
      </c>
      <c r="I67" s="29">
        <v>276669.57640000002</v>
      </c>
      <c r="J67" s="29">
        <v>298959.83</v>
      </c>
      <c r="K67" s="29">
        <v>341816.85989999998</v>
      </c>
      <c r="L67" s="29">
        <v>382930.04119999998</v>
      </c>
      <c r="M67" s="29">
        <v>403091.614</v>
      </c>
      <c r="N67" s="29">
        <v>414553.37439999997</v>
      </c>
      <c r="O67" s="29">
        <v>424718.27260000003</v>
      </c>
      <c r="P67" s="29">
        <v>431047.78899999999</v>
      </c>
      <c r="Q67" s="29">
        <v>439668.46100000001</v>
      </c>
      <c r="R67" s="29">
        <v>457901.23430000001</v>
      </c>
      <c r="S67" s="29">
        <v>499372.84830000001</v>
      </c>
      <c r="T67" s="29">
        <v>515440.69429999997</v>
      </c>
      <c r="U67" s="29">
        <v>567442.9571</v>
      </c>
      <c r="V67" s="29">
        <v>607597.8567</v>
      </c>
      <c r="W67" s="29">
        <v>635896.49580000003</v>
      </c>
      <c r="X67" s="29">
        <v>646132.18819999998</v>
      </c>
      <c r="Y67" s="29">
        <v>699887.12089999998</v>
      </c>
      <c r="Z67" s="29">
        <v>812386.61259999999</v>
      </c>
      <c r="AA67" s="31">
        <v>903155.99750000006</v>
      </c>
      <c r="AB67" s="5" t="s">
        <v>13</v>
      </c>
    </row>
    <row r="68" spans="1:28" ht="15.75" thickBot="1">
      <c r="B68">
        <v>12</v>
      </c>
      <c r="C68" s="17" t="s">
        <v>14</v>
      </c>
      <c r="D68" s="33">
        <v>29016.923699999999</v>
      </c>
      <c r="E68" s="33">
        <v>33586.779399999999</v>
      </c>
      <c r="F68" s="33">
        <v>37034.421300000002</v>
      </c>
      <c r="G68" s="33">
        <v>40589.686199999996</v>
      </c>
      <c r="H68" s="33">
        <v>44116.195899999999</v>
      </c>
      <c r="I68" s="33">
        <v>46895.102700000003</v>
      </c>
      <c r="J68" s="33">
        <v>50257.876300000004</v>
      </c>
      <c r="K68" s="33">
        <v>55247.450700000001</v>
      </c>
      <c r="L68" s="33">
        <v>61554.7255</v>
      </c>
      <c r="M68" s="33">
        <v>64469.383099999999</v>
      </c>
      <c r="N68" s="33">
        <v>64092.040500000003</v>
      </c>
      <c r="O68" s="33">
        <v>75186.032800000001</v>
      </c>
      <c r="P68" s="33">
        <v>70877.754799999995</v>
      </c>
      <c r="Q68" s="33">
        <v>70526.469500000007</v>
      </c>
      <c r="R68" s="33">
        <v>70629.895499999999</v>
      </c>
      <c r="S68" s="33">
        <v>70354.108800000002</v>
      </c>
      <c r="T68" s="33">
        <v>76229.475600000005</v>
      </c>
      <c r="U68" s="33">
        <v>75709.094800000006</v>
      </c>
      <c r="V68" s="33">
        <v>81443.873399999997</v>
      </c>
      <c r="W68" s="33">
        <v>86381.332399999999</v>
      </c>
      <c r="X68" s="33">
        <v>81760.824800000002</v>
      </c>
      <c r="Y68" s="33">
        <v>91366.079400000002</v>
      </c>
      <c r="Z68" s="33">
        <v>110460.15</v>
      </c>
      <c r="AA68" s="34">
        <v>124976.8838</v>
      </c>
      <c r="AB68" s="17" t="s">
        <v>14</v>
      </c>
    </row>
    <row r="70" spans="1:28" ht="60.75" thickBot="1">
      <c r="A70" s="70" t="s">
        <v>138</v>
      </c>
      <c r="B70" s="16" t="s">
        <v>108</v>
      </c>
    </row>
    <row r="71" spans="1:28" ht="15.75" thickBot="1">
      <c r="A71" s="71"/>
      <c r="B71" s="4">
        <v>2011</v>
      </c>
    </row>
    <row r="72" spans="1:28" ht="15.75" thickBot="1">
      <c r="A72" s="5" t="s">
        <v>3</v>
      </c>
      <c r="B72" s="6">
        <v>64.497</v>
      </c>
    </row>
    <row r="73" spans="1:28" ht="15.75" thickBot="1">
      <c r="A73" s="5" t="s">
        <v>4</v>
      </c>
      <c r="B73" s="6">
        <v>35.738999999999997</v>
      </c>
    </row>
    <row r="74" spans="1:28" ht="15.75" thickBot="1">
      <c r="A74" s="5" t="s">
        <v>5</v>
      </c>
      <c r="B74" s="6">
        <v>199.07300000000001</v>
      </c>
    </row>
    <row r="75" spans="1:28" ht="15.75" thickBot="1">
      <c r="A75" s="5" t="s">
        <v>6</v>
      </c>
      <c r="B75" s="6">
        <v>116.971</v>
      </c>
    </row>
    <row r="76" spans="1:28" ht="15.75" thickBot="1">
      <c r="A76" s="5" t="s">
        <v>7</v>
      </c>
      <c r="B76" s="6">
        <v>125.35299999999999</v>
      </c>
    </row>
    <row r="77" spans="1:28" ht="29.25" thickBot="1">
      <c r="A77" s="5" t="s">
        <v>8</v>
      </c>
      <c r="B77" s="6">
        <v>37.61</v>
      </c>
    </row>
    <row r="78" spans="1:28" ht="15.75" thickBot="1">
      <c r="A78" s="5" t="s">
        <v>9</v>
      </c>
      <c r="B78" s="6">
        <v>88.358000000000004</v>
      </c>
    </row>
    <row r="79" spans="1:28" ht="15.75" thickBot="1">
      <c r="A79" s="5" t="s">
        <v>10</v>
      </c>
      <c r="B79" s="6">
        <v>29.045999999999999</v>
      </c>
    </row>
    <row r="80" spans="1:28" ht="15.75" thickBot="1">
      <c r="A80" s="5" t="s">
        <v>11</v>
      </c>
      <c r="B80" s="6">
        <v>74.084000000000003</v>
      </c>
    </row>
    <row r="81" spans="1:2" ht="15.75" thickBot="1">
      <c r="A81" s="5" t="s">
        <v>12</v>
      </c>
      <c r="B81" s="6">
        <v>96.328000000000003</v>
      </c>
    </row>
    <row r="82" spans="1:2" ht="15.75" thickBot="1">
      <c r="A82" s="5" t="s">
        <v>13</v>
      </c>
      <c r="B82" s="6">
        <v>536.99800000000005</v>
      </c>
    </row>
    <row r="83" spans="1:2" ht="15.75" thickBot="1">
      <c r="A83" s="5" t="s">
        <v>14</v>
      </c>
      <c r="B83" s="6">
        <v>117.85</v>
      </c>
    </row>
  </sheetData>
  <mergeCells count="12">
    <mergeCell ref="C55:C56"/>
    <mergeCell ref="D55:AA55"/>
    <mergeCell ref="A70:A71"/>
    <mergeCell ref="W21:W22"/>
    <mergeCell ref="Z21:Z22"/>
    <mergeCell ref="C38:C39"/>
    <mergeCell ref="A3:A4"/>
    <mergeCell ref="B3:K3"/>
    <mergeCell ref="L3:U3"/>
    <mergeCell ref="C21:C22"/>
    <mergeCell ref="D21:L21"/>
    <mergeCell ref="R20:R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342A-E0ED-4E20-8CF0-A882327AADD9}">
  <dimension ref="A3:X190"/>
  <sheetViews>
    <sheetView topLeftCell="A131" workbookViewId="0">
      <selection activeCell="L150" sqref="L150"/>
    </sheetView>
  </sheetViews>
  <sheetFormatPr defaultRowHeight="15"/>
  <cols>
    <col min="4" max="4" width="17.85546875" customWidth="1"/>
    <col min="6" max="6" width="18" customWidth="1"/>
    <col min="7" max="7" width="10.140625" customWidth="1"/>
    <col min="9" max="9" width="11.85546875" customWidth="1"/>
    <col min="11" max="11" width="9.5703125" customWidth="1"/>
    <col min="23" max="23" width="15.28515625" customWidth="1"/>
  </cols>
  <sheetData>
    <row r="3" spans="2:9">
      <c r="B3" s="86" t="s">
        <v>150</v>
      </c>
      <c r="C3" s="86"/>
      <c r="D3" s="86"/>
      <c r="E3" s="86"/>
      <c r="F3" s="86"/>
      <c r="G3" s="40"/>
    </row>
    <row r="4" spans="2:9" ht="24.75">
      <c r="B4" s="41" t="s">
        <v>151</v>
      </c>
      <c r="C4" s="42" t="s">
        <v>152</v>
      </c>
      <c r="D4" s="42" t="s">
        <v>153</v>
      </c>
      <c r="E4" s="42" t="s">
        <v>154</v>
      </c>
      <c r="F4" s="42" t="s">
        <v>155</v>
      </c>
      <c r="G4" s="40"/>
    </row>
    <row r="5" spans="2:9">
      <c r="B5" s="43" t="s">
        <v>156</v>
      </c>
      <c r="C5" s="44" t="s">
        <v>157</v>
      </c>
      <c r="D5" s="45">
        <v>0.71383277311420279</v>
      </c>
      <c r="E5" s="45">
        <v>0.70767863920268026</v>
      </c>
      <c r="F5" s="45">
        <v>1862.2652105998802</v>
      </c>
      <c r="G5" s="40"/>
    </row>
    <row r="6" spans="2:9" ht="24" customHeight="1">
      <c r="B6" s="85" t="s">
        <v>158</v>
      </c>
      <c r="C6" s="85"/>
      <c r="D6" s="85"/>
      <c r="E6" s="85"/>
      <c r="F6" s="85"/>
      <c r="G6" s="40"/>
    </row>
    <row r="9" spans="2:9">
      <c r="B9" s="86" t="s">
        <v>166</v>
      </c>
      <c r="C9" s="86"/>
      <c r="D9" s="86"/>
      <c r="E9" s="86"/>
      <c r="F9" s="86"/>
      <c r="G9" s="86"/>
      <c r="H9" s="86"/>
      <c r="I9" s="40"/>
    </row>
    <row r="10" spans="2:9">
      <c r="B10" s="83" t="s">
        <v>151</v>
      </c>
      <c r="C10" s="83"/>
      <c r="D10" s="42" t="s">
        <v>159</v>
      </c>
      <c r="E10" s="42" t="s">
        <v>160</v>
      </c>
      <c r="F10" s="42" t="s">
        <v>161</v>
      </c>
      <c r="G10" s="42" t="s">
        <v>162</v>
      </c>
      <c r="H10" s="42" t="s">
        <v>163</v>
      </c>
      <c r="I10" s="40"/>
    </row>
    <row r="11" spans="2:9" ht="24">
      <c r="B11" s="87" t="s">
        <v>156</v>
      </c>
      <c r="C11" s="46" t="s">
        <v>164</v>
      </c>
      <c r="D11" s="45">
        <v>804530655.87454617</v>
      </c>
      <c r="E11" s="47">
        <v>2</v>
      </c>
      <c r="F11" s="45">
        <v>402265327.93727309</v>
      </c>
      <c r="G11" s="45">
        <v>115.99240175415713</v>
      </c>
      <c r="H11" s="44" t="s">
        <v>167</v>
      </c>
      <c r="I11" s="40"/>
    </row>
    <row r="12" spans="2:9">
      <c r="B12" s="84"/>
      <c r="C12" s="46" t="s">
        <v>165</v>
      </c>
      <c r="D12" s="45">
        <v>322526949.45878732</v>
      </c>
      <c r="E12" s="47">
        <v>93</v>
      </c>
      <c r="F12" s="45">
        <v>3468031.7146106162</v>
      </c>
      <c r="G12" s="48"/>
      <c r="H12" s="48"/>
      <c r="I12" s="40"/>
    </row>
    <row r="13" spans="2:9">
      <c r="B13" s="84"/>
      <c r="C13" s="46" t="s">
        <v>139</v>
      </c>
      <c r="D13" s="45">
        <v>1127057605.3333335</v>
      </c>
      <c r="E13" s="47">
        <v>95</v>
      </c>
      <c r="F13" s="48"/>
      <c r="G13" s="48"/>
      <c r="H13" s="48"/>
      <c r="I13" s="40"/>
    </row>
    <row r="14" spans="2:9">
      <c r="B14" s="85" t="s">
        <v>169</v>
      </c>
      <c r="C14" s="85"/>
      <c r="D14" s="85"/>
      <c r="E14" s="85"/>
      <c r="F14" s="85"/>
      <c r="G14" s="85"/>
      <c r="H14" s="85"/>
      <c r="I14" s="40"/>
    </row>
    <row r="15" spans="2:9">
      <c r="B15" s="85" t="s">
        <v>168</v>
      </c>
      <c r="C15" s="85"/>
      <c r="D15" s="85"/>
      <c r="E15" s="85"/>
      <c r="F15" s="85"/>
      <c r="G15" s="85"/>
      <c r="H15" s="85"/>
      <c r="I15" s="40"/>
    </row>
    <row r="18" spans="2:9">
      <c r="B18" s="86" t="s">
        <v>179</v>
      </c>
      <c r="C18" s="86"/>
      <c r="D18" s="86"/>
      <c r="E18" s="86"/>
      <c r="F18" s="86"/>
      <c r="G18" s="86"/>
      <c r="H18" s="86"/>
      <c r="I18" s="49"/>
    </row>
    <row r="19" spans="2:9" ht="24.75">
      <c r="B19" s="83" t="s">
        <v>151</v>
      </c>
      <c r="C19" s="83"/>
      <c r="D19" s="88" t="s">
        <v>170</v>
      </c>
      <c r="E19" s="88"/>
      <c r="F19" s="42" t="s">
        <v>171</v>
      </c>
      <c r="G19" s="88" t="s">
        <v>172</v>
      </c>
      <c r="H19" s="88" t="s">
        <v>163</v>
      </c>
      <c r="I19" s="49"/>
    </row>
    <row r="20" spans="2:9">
      <c r="B20" s="83"/>
      <c r="C20" s="83"/>
      <c r="D20" s="42" t="s">
        <v>173</v>
      </c>
      <c r="E20" s="42" t="s">
        <v>174</v>
      </c>
      <c r="F20" s="42" t="s">
        <v>175</v>
      </c>
      <c r="G20" s="88"/>
      <c r="H20" s="88"/>
      <c r="I20" s="49"/>
    </row>
    <row r="21" spans="2:9" ht="24">
      <c r="B21" s="87" t="s">
        <v>156</v>
      </c>
      <c r="C21" s="46" t="s">
        <v>176</v>
      </c>
      <c r="D21" s="45">
        <v>-3392.8472714546292</v>
      </c>
      <c r="E21" s="45">
        <v>478.30173192851686</v>
      </c>
      <c r="F21" s="48"/>
      <c r="G21" s="45">
        <v>-7.0935291364608668</v>
      </c>
      <c r="H21" s="45">
        <v>2.5245798858636758E-10</v>
      </c>
      <c r="I21" s="49"/>
    </row>
    <row r="22" spans="2:9" ht="36">
      <c r="B22" s="84"/>
      <c r="C22" s="46" t="s">
        <v>177</v>
      </c>
      <c r="D22" s="45">
        <v>1.5906619107781347E-2</v>
      </c>
      <c r="E22" s="45">
        <v>1.1065114666127937E-3</v>
      </c>
      <c r="F22" s="45">
        <v>0.80497468578950537</v>
      </c>
      <c r="G22" s="45">
        <v>14.375467031059353</v>
      </c>
      <c r="H22" s="45">
        <v>2.3270466651974998E-25</v>
      </c>
      <c r="I22" s="49"/>
    </row>
    <row r="23" spans="2:9" ht="48">
      <c r="B23" s="84"/>
      <c r="C23" s="46" t="s">
        <v>178</v>
      </c>
      <c r="D23" s="45">
        <v>114.62583940158939</v>
      </c>
      <c r="E23" s="45">
        <v>37.934316249792808</v>
      </c>
      <c r="F23" s="45">
        <v>0.16920396228034135</v>
      </c>
      <c r="G23" s="45">
        <v>3.0216925131006009</v>
      </c>
      <c r="H23" s="45">
        <v>3.2466355816602797E-3</v>
      </c>
      <c r="I23" s="49"/>
    </row>
    <row r="24" spans="2:9">
      <c r="B24" s="85" t="s">
        <v>169</v>
      </c>
      <c r="C24" s="85"/>
      <c r="D24" s="85"/>
      <c r="E24" s="85"/>
      <c r="F24" s="85"/>
      <c r="G24" s="85"/>
      <c r="H24" s="85"/>
      <c r="I24" s="49"/>
    </row>
    <row r="28" spans="2:9">
      <c r="B28" t="s">
        <v>180</v>
      </c>
    </row>
    <row r="29" spans="2:9">
      <c r="D29" t="s">
        <v>181</v>
      </c>
      <c r="E29" t="s">
        <v>177</v>
      </c>
      <c r="F29" t="s">
        <v>178</v>
      </c>
    </row>
    <row r="30" spans="2:9">
      <c r="B30" t="s">
        <v>181</v>
      </c>
      <c r="C30" t="s">
        <v>182</v>
      </c>
      <c r="D30">
        <v>1</v>
      </c>
      <c r="E30" t="s">
        <v>183</v>
      </c>
      <c r="F30" t="s">
        <v>184</v>
      </c>
    </row>
    <row r="31" spans="2:9">
      <c r="C31" t="s">
        <v>185</v>
      </c>
      <c r="E31">
        <v>0</v>
      </c>
      <c r="F31">
        <v>6.0000000000000001E-3</v>
      </c>
    </row>
    <row r="32" spans="2:9">
      <c r="C32" t="s">
        <v>186</v>
      </c>
      <c r="D32">
        <v>96</v>
      </c>
      <c r="E32">
        <v>96</v>
      </c>
      <c r="F32">
        <v>96</v>
      </c>
    </row>
    <row r="33" spans="2:7">
      <c r="B33" t="s">
        <v>177</v>
      </c>
      <c r="C33" t="s">
        <v>182</v>
      </c>
      <c r="D33" t="s">
        <v>183</v>
      </c>
      <c r="E33">
        <v>1</v>
      </c>
      <c r="F33">
        <v>0.13700000000000001</v>
      </c>
    </row>
    <row r="34" spans="2:7">
      <c r="C34" t="s">
        <v>185</v>
      </c>
      <c r="D34">
        <v>0</v>
      </c>
      <c r="F34">
        <v>0.184</v>
      </c>
    </row>
    <row r="35" spans="2:7">
      <c r="C35" t="s">
        <v>186</v>
      </c>
      <c r="D35">
        <v>96</v>
      </c>
      <c r="E35">
        <v>96</v>
      </c>
      <c r="F35">
        <v>96</v>
      </c>
    </row>
    <row r="36" spans="2:7">
      <c r="B36" t="s">
        <v>178</v>
      </c>
      <c r="C36" t="s">
        <v>182</v>
      </c>
      <c r="D36" t="s">
        <v>184</v>
      </c>
      <c r="E36">
        <v>0.13700000000000001</v>
      </c>
      <c r="F36">
        <v>1</v>
      </c>
    </row>
    <row r="37" spans="2:7">
      <c r="C37" t="s">
        <v>185</v>
      </c>
      <c r="D37">
        <v>6.0000000000000001E-3</v>
      </c>
      <c r="E37">
        <v>0.184</v>
      </c>
    </row>
    <row r="38" spans="2:7">
      <c r="C38" t="s">
        <v>186</v>
      </c>
      <c r="D38">
        <v>96</v>
      </c>
      <c r="E38">
        <v>96</v>
      </c>
      <c r="F38">
        <v>96</v>
      </c>
    </row>
    <row r="39" spans="2:7">
      <c r="B39" t="s">
        <v>187</v>
      </c>
    </row>
    <row r="43" spans="2:7">
      <c r="B43" s="86" t="s">
        <v>180</v>
      </c>
      <c r="C43" s="86"/>
      <c r="D43" s="86"/>
      <c r="E43" s="86"/>
      <c r="F43" s="86"/>
      <c r="G43" s="40"/>
    </row>
    <row r="44" spans="2:7" ht="24.75">
      <c r="B44" s="83" t="s">
        <v>149</v>
      </c>
      <c r="C44" s="83"/>
      <c r="D44" s="42" t="s">
        <v>191</v>
      </c>
      <c r="E44" s="42" t="s">
        <v>192</v>
      </c>
      <c r="F44" s="42" t="s">
        <v>193</v>
      </c>
      <c r="G44" s="40"/>
    </row>
    <row r="45" spans="2:7" ht="36">
      <c r="B45" s="84" t="s">
        <v>191</v>
      </c>
      <c r="C45" s="46" t="s">
        <v>182</v>
      </c>
      <c r="D45" s="47">
        <v>1</v>
      </c>
      <c r="E45" s="44" t="s">
        <v>189</v>
      </c>
      <c r="F45" s="44" t="s">
        <v>190</v>
      </c>
      <c r="G45" s="40"/>
    </row>
    <row r="46" spans="2:7" ht="24">
      <c r="B46" s="84"/>
      <c r="C46" s="46" t="s">
        <v>185</v>
      </c>
      <c r="D46" s="48"/>
      <c r="E46" s="45">
        <v>2.3273449340120135E-25</v>
      </c>
      <c r="F46" s="45">
        <v>5.8761798024046666E-3</v>
      </c>
      <c r="G46" s="40"/>
    </row>
    <row r="47" spans="2:7">
      <c r="B47" s="84"/>
      <c r="C47" s="46" t="s">
        <v>186</v>
      </c>
      <c r="D47" s="47">
        <v>96</v>
      </c>
      <c r="E47" s="47">
        <v>96</v>
      </c>
      <c r="F47" s="47">
        <v>96</v>
      </c>
      <c r="G47" s="40"/>
    </row>
    <row r="48" spans="2:7" ht="36">
      <c r="B48" s="84" t="s">
        <v>192</v>
      </c>
      <c r="C48" s="46" t="s">
        <v>182</v>
      </c>
      <c r="D48" s="44" t="s">
        <v>189</v>
      </c>
      <c r="E48" s="47">
        <v>1</v>
      </c>
      <c r="F48" s="45">
        <v>0.13662704410793078</v>
      </c>
      <c r="G48" s="40"/>
    </row>
    <row r="49" spans="2:9" ht="24">
      <c r="B49" s="84"/>
      <c r="C49" s="46" t="s">
        <v>185</v>
      </c>
      <c r="D49" s="45">
        <v>2.3273449340120135E-25</v>
      </c>
      <c r="E49" s="48"/>
      <c r="F49" s="45">
        <v>0.18438824969086762</v>
      </c>
      <c r="G49" s="40"/>
    </row>
    <row r="50" spans="2:9">
      <c r="B50" s="84"/>
      <c r="C50" s="46" t="s">
        <v>186</v>
      </c>
      <c r="D50" s="47">
        <v>96</v>
      </c>
      <c r="E50" s="47">
        <v>96</v>
      </c>
      <c r="F50" s="47">
        <v>96</v>
      </c>
      <c r="G50" s="40"/>
    </row>
    <row r="51" spans="2:9" ht="36">
      <c r="B51" s="84" t="s">
        <v>193</v>
      </c>
      <c r="C51" s="46" t="s">
        <v>182</v>
      </c>
      <c r="D51" s="44" t="s">
        <v>190</v>
      </c>
      <c r="E51" s="45">
        <v>0.13662704410793078</v>
      </c>
      <c r="F51" s="47">
        <v>1</v>
      </c>
      <c r="G51" s="40"/>
    </row>
    <row r="52" spans="2:9" ht="24">
      <c r="B52" s="84"/>
      <c r="C52" s="46" t="s">
        <v>185</v>
      </c>
      <c r="D52" s="45">
        <v>5.8761798024046666E-3</v>
      </c>
      <c r="E52" s="45">
        <v>0.18438824969086762</v>
      </c>
      <c r="F52" s="48"/>
      <c r="G52" s="40"/>
    </row>
    <row r="53" spans="2:9">
      <c r="B53" s="84"/>
      <c r="C53" s="46" t="s">
        <v>186</v>
      </c>
      <c r="D53" s="47">
        <v>96</v>
      </c>
      <c r="E53" s="47">
        <v>96</v>
      </c>
      <c r="F53" s="47">
        <v>96</v>
      </c>
      <c r="G53" s="40"/>
    </row>
    <row r="54" spans="2:9">
      <c r="B54" s="85" t="s">
        <v>188</v>
      </c>
      <c r="C54" s="85"/>
      <c r="D54" s="85"/>
      <c r="E54" s="85"/>
      <c r="F54" s="85"/>
      <c r="G54" s="40"/>
    </row>
    <row r="58" spans="2:9">
      <c r="B58" s="86" t="s">
        <v>180</v>
      </c>
      <c r="C58" s="86"/>
      <c r="D58" s="86"/>
      <c r="E58" s="86"/>
      <c r="F58" s="86"/>
      <c r="G58" s="86"/>
      <c r="H58" s="86"/>
      <c r="I58" s="49"/>
    </row>
    <row r="59" spans="2:9" ht="48.75">
      <c r="B59" s="83" t="s">
        <v>149</v>
      </c>
      <c r="C59" s="83"/>
      <c r="D59" s="42" t="s">
        <v>191</v>
      </c>
      <c r="E59" s="42" t="s">
        <v>192</v>
      </c>
      <c r="F59" s="42" t="s">
        <v>193</v>
      </c>
      <c r="G59" s="42" t="s">
        <v>199</v>
      </c>
      <c r="H59" s="42" t="s">
        <v>200</v>
      </c>
      <c r="I59" s="49"/>
    </row>
    <row r="60" spans="2:9" ht="36">
      <c r="B60" s="84" t="s">
        <v>191</v>
      </c>
      <c r="C60" s="46" t="s">
        <v>182</v>
      </c>
      <c r="D60" s="47">
        <v>1</v>
      </c>
      <c r="E60" s="44" t="s">
        <v>189</v>
      </c>
      <c r="F60" s="44" t="s">
        <v>190</v>
      </c>
      <c r="G60" s="44" t="s">
        <v>194</v>
      </c>
      <c r="H60" s="44" t="s">
        <v>195</v>
      </c>
      <c r="I60" s="49"/>
    </row>
    <row r="61" spans="2:9" ht="24">
      <c r="B61" s="84"/>
      <c r="C61" s="46" t="s">
        <v>185</v>
      </c>
      <c r="D61" s="48"/>
      <c r="E61" s="45">
        <v>2.3273449340120135E-25</v>
      </c>
      <c r="F61" s="45">
        <v>5.8761798024046666E-3</v>
      </c>
      <c r="G61" s="45">
        <v>3.4118459656378927E-4</v>
      </c>
      <c r="H61" s="45">
        <v>2.405631630987142E-3</v>
      </c>
      <c r="I61" s="49"/>
    </row>
    <row r="62" spans="2:9">
      <c r="B62" s="84"/>
      <c r="C62" s="46" t="s">
        <v>186</v>
      </c>
      <c r="D62" s="47">
        <v>96</v>
      </c>
      <c r="E62" s="47">
        <v>96</v>
      </c>
      <c r="F62" s="47">
        <v>96</v>
      </c>
      <c r="G62" s="47">
        <v>12</v>
      </c>
      <c r="H62" s="47">
        <v>12</v>
      </c>
      <c r="I62" s="49"/>
    </row>
    <row r="63" spans="2:9" ht="36">
      <c r="B63" s="84" t="s">
        <v>192</v>
      </c>
      <c r="C63" s="46" t="s">
        <v>182</v>
      </c>
      <c r="D63" s="44" t="s">
        <v>189</v>
      </c>
      <c r="E63" s="47">
        <v>1</v>
      </c>
      <c r="F63" s="45">
        <v>0.13662704410793078</v>
      </c>
      <c r="G63" s="44" t="s">
        <v>196</v>
      </c>
      <c r="H63" s="44" t="s">
        <v>197</v>
      </c>
      <c r="I63" s="49"/>
    </row>
    <row r="64" spans="2:9" ht="24">
      <c r="B64" s="84"/>
      <c r="C64" s="46" t="s">
        <v>185</v>
      </c>
      <c r="D64" s="45">
        <v>2.3273449340120135E-25</v>
      </c>
      <c r="E64" s="48"/>
      <c r="F64" s="45">
        <v>0.18438824969086762</v>
      </c>
      <c r="G64" s="45">
        <v>8.8891478887340515E-7</v>
      </c>
      <c r="H64" s="45">
        <v>1.3715106564615167E-3</v>
      </c>
      <c r="I64" s="49"/>
    </row>
    <row r="65" spans="2:9">
      <c r="B65" s="84"/>
      <c r="C65" s="46" t="s">
        <v>186</v>
      </c>
      <c r="D65" s="47">
        <v>96</v>
      </c>
      <c r="E65" s="47">
        <v>96</v>
      </c>
      <c r="F65" s="47">
        <v>96</v>
      </c>
      <c r="G65" s="47">
        <v>12</v>
      </c>
      <c r="H65" s="47">
        <v>12</v>
      </c>
      <c r="I65" s="49"/>
    </row>
    <row r="66" spans="2:9" ht="36">
      <c r="B66" s="84" t="s">
        <v>193</v>
      </c>
      <c r="C66" s="46" t="s">
        <v>182</v>
      </c>
      <c r="D66" s="44" t="s">
        <v>190</v>
      </c>
      <c r="E66" s="45">
        <v>0.13662704410793078</v>
      </c>
      <c r="F66" s="47">
        <v>1</v>
      </c>
      <c r="G66" s="45">
        <v>-3.9825307721080651E-2</v>
      </c>
      <c r="H66" s="45">
        <v>-0.24691393063634715</v>
      </c>
      <c r="I66" s="49"/>
    </row>
    <row r="67" spans="2:9" ht="24">
      <c r="B67" s="84"/>
      <c r="C67" s="46" t="s">
        <v>185</v>
      </c>
      <c r="D67" s="45">
        <v>5.8761798024046666E-3</v>
      </c>
      <c r="E67" s="45">
        <v>0.18438824969086762</v>
      </c>
      <c r="F67" s="48"/>
      <c r="G67" s="45">
        <v>0.90219937174481124</v>
      </c>
      <c r="H67" s="45">
        <v>0.43912196283701177</v>
      </c>
      <c r="I67" s="49"/>
    </row>
    <row r="68" spans="2:9">
      <c r="B68" s="84"/>
      <c r="C68" s="46" t="s">
        <v>186</v>
      </c>
      <c r="D68" s="47">
        <v>96</v>
      </c>
      <c r="E68" s="47">
        <v>96</v>
      </c>
      <c r="F68" s="47">
        <v>96</v>
      </c>
      <c r="G68" s="47">
        <v>12</v>
      </c>
      <c r="H68" s="47">
        <v>12</v>
      </c>
      <c r="I68" s="49"/>
    </row>
    <row r="69" spans="2:9" ht="36">
      <c r="B69" s="84" t="s">
        <v>199</v>
      </c>
      <c r="C69" s="46" t="s">
        <v>182</v>
      </c>
      <c r="D69" s="44" t="s">
        <v>194</v>
      </c>
      <c r="E69" s="44" t="s">
        <v>196</v>
      </c>
      <c r="F69" s="45">
        <v>-3.9825307721080651E-2</v>
      </c>
      <c r="G69" s="47">
        <v>1</v>
      </c>
      <c r="H69" s="44" t="s">
        <v>198</v>
      </c>
      <c r="I69" s="49"/>
    </row>
    <row r="70" spans="2:9" ht="24">
      <c r="B70" s="84"/>
      <c r="C70" s="46" t="s">
        <v>185</v>
      </c>
      <c r="D70" s="45">
        <v>3.4118459656378927E-4</v>
      </c>
      <c r="E70" s="45">
        <v>8.8891478887340515E-7</v>
      </c>
      <c r="F70" s="45">
        <v>0.90219937174481124</v>
      </c>
      <c r="G70" s="48"/>
      <c r="H70" s="45">
        <v>1.8255598223932805E-3</v>
      </c>
      <c r="I70" s="49"/>
    </row>
    <row r="71" spans="2:9">
      <c r="B71" s="84"/>
      <c r="C71" s="46" t="s">
        <v>186</v>
      </c>
      <c r="D71" s="47">
        <v>12</v>
      </c>
      <c r="E71" s="47">
        <v>12</v>
      </c>
      <c r="F71" s="47">
        <v>12</v>
      </c>
      <c r="G71" s="47">
        <v>12</v>
      </c>
      <c r="H71" s="47">
        <v>12</v>
      </c>
      <c r="I71" s="49"/>
    </row>
    <row r="72" spans="2:9" ht="36">
      <c r="B72" s="84" t="s">
        <v>200</v>
      </c>
      <c r="C72" s="46" t="s">
        <v>182</v>
      </c>
      <c r="D72" s="44" t="s">
        <v>195</v>
      </c>
      <c r="E72" s="44" t="s">
        <v>197</v>
      </c>
      <c r="F72" s="45">
        <v>-0.24691393063634715</v>
      </c>
      <c r="G72" s="44" t="s">
        <v>198</v>
      </c>
      <c r="H72" s="47">
        <v>1</v>
      </c>
      <c r="I72" s="49"/>
    </row>
    <row r="73" spans="2:9" ht="24">
      <c r="B73" s="84"/>
      <c r="C73" s="46" t="s">
        <v>185</v>
      </c>
      <c r="D73" s="45">
        <v>2.405631630987142E-3</v>
      </c>
      <c r="E73" s="45">
        <v>1.3715106564615167E-3</v>
      </c>
      <c r="F73" s="45">
        <v>0.43912196283701177</v>
      </c>
      <c r="G73" s="45">
        <v>1.8255598223932805E-3</v>
      </c>
      <c r="H73" s="48"/>
      <c r="I73" s="49"/>
    </row>
    <row r="74" spans="2:9">
      <c r="B74" s="84"/>
      <c r="C74" s="46" t="s">
        <v>186</v>
      </c>
      <c r="D74" s="47">
        <v>12</v>
      </c>
      <c r="E74" s="47">
        <v>12</v>
      </c>
      <c r="F74" s="47">
        <v>12</v>
      </c>
      <c r="G74" s="47">
        <v>12</v>
      </c>
      <c r="H74" s="47">
        <v>12</v>
      </c>
      <c r="I74" s="49"/>
    </row>
    <row r="75" spans="2:9">
      <c r="B75" s="85" t="s">
        <v>188</v>
      </c>
      <c r="C75" s="85"/>
      <c r="D75" s="85"/>
      <c r="E75" s="85"/>
      <c r="F75" s="85"/>
      <c r="G75" s="85"/>
      <c r="H75" s="85"/>
      <c r="I75" s="49"/>
    </row>
    <row r="78" spans="2:9">
      <c r="B78" s="86" t="s">
        <v>201</v>
      </c>
      <c r="C78" s="86"/>
      <c r="D78" s="86"/>
      <c r="E78" s="86"/>
      <c r="F78" s="86"/>
      <c r="G78" s="86"/>
      <c r="H78" s="86"/>
      <c r="I78" s="49"/>
    </row>
    <row r="79" spans="2:9">
      <c r="B79" s="83" t="s">
        <v>149</v>
      </c>
      <c r="C79" s="83"/>
      <c r="D79" s="42" t="s">
        <v>159</v>
      </c>
      <c r="E79" s="42" t="s">
        <v>160</v>
      </c>
      <c r="F79" s="42" t="s">
        <v>161</v>
      </c>
      <c r="G79" s="42" t="s">
        <v>162</v>
      </c>
      <c r="H79" s="42" t="s">
        <v>163</v>
      </c>
      <c r="I79" s="49"/>
    </row>
    <row r="80" spans="2:9" ht="24">
      <c r="B80" s="84" t="s">
        <v>181</v>
      </c>
      <c r="C80" s="46" t="s">
        <v>202</v>
      </c>
      <c r="D80" s="45">
        <v>982454425.33333337</v>
      </c>
      <c r="E80" s="47">
        <v>11</v>
      </c>
      <c r="F80" s="45">
        <v>89314038.666666672</v>
      </c>
      <c r="G80" s="45">
        <v>51.882532929082195</v>
      </c>
      <c r="H80" s="45">
        <v>9.8406975706965263E-33</v>
      </c>
      <c r="I80" s="49"/>
    </row>
    <row r="81" spans="1:24" ht="24">
      <c r="B81" s="84"/>
      <c r="C81" s="46" t="s">
        <v>203</v>
      </c>
      <c r="D81" s="45">
        <v>144603180</v>
      </c>
      <c r="E81" s="47">
        <v>84</v>
      </c>
      <c r="F81" s="45">
        <v>1721466.4285714286</v>
      </c>
      <c r="G81" s="48"/>
      <c r="H81" s="48"/>
      <c r="I81" s="49"/>
    </row>
    <row r="82" spans="1:24">
      <c r="B82" s="84"/>
      <c r="C82" s="46" t="s">
        <v>139</v>
      </c>
      <c r="D82" s="45">
        <v>1127057605.3333335</v>
      </c>
      <c r="E82" s="47">
        <v>95</v>
      </c>
      <c r="F82" s="48"/>
      <c r="G82" s="48"/>
      <c r="H82" s="48"/>
      <c r="I82" s="49"/>
    </row>
    <row r="83" spans="1:24" ht="24">
      <c r="B83" s="84" t="s">
        <v>177</v>
      </c>
      <c r="C83" s="46" t="s">
        <v>202</v>
      </c>
      <c r="D83" s="45">
        <v>2753052703192.271</v>
      </c>
      <c r="E83" s="47">
        <v>11</v>
      </c>
      <c r="F83" s="45">
        <v>250277518472.02463</v>
      </c>
      <c r="G83" s="45">
        <v>157.67183476428514</v>
      </c>
      <c r="H83" s="45">
        <v>3.4007464252225825E-51</v>
      </c>
      <c r="I83" s="49"/>
    </row>
    <row r="84" spans="1:24" ht="24">
      <c r="B84" s="84"/>
      <c r="C84" s="46" t="s">
        <v>203</v>
      </c>
      <c r="D84" s="45">
        <v>133335871832.01944</v>
      </c>
      <c r="E84" s="47">
        <v>84</v>
      </c>
      <c r="F84" s="45">
        <v>1587331807.5240409</v>
      </c>
      <c r="G84" s="48"/>
      <c r="H84" s="48"/>
      <c r="I84" s="49"/>
    </row>
    <row r="85" spans="1:24">
      <c r="B85" s="84"/>
      <c r="C85" s="46" t="s">
        <v>139</v>
      </c>
      <c r="D85" s="45">
        <v>2886388575024.2905</v>
      </c>
      <c r="E85" s="47">
        <v>95</v>
      </c>
      <c r="F85" s="48"/>
      <c r="G85" s="48"/>
      <c r="H85" s="48"/>
      <c r="I85" s="49"/>
    </row>
    <row r="86" spans="1:24" ht="24">
      <c r="B86" s="84" t="s">
        <v>178</v>
      </c>
      <c r="C86" s="46" t="s">
        <v>202</v>
      </c>
      <c r="D86" s="45">
        <v>1400.2278125000003</v>
      </c>
      <c r="E86" s="47">
        <v>11</v>
      </c>
      <c r="F86" s="45">
        <v>127.29343750000002</v>
      </c>
      <c r="G86" s="45">
        <v>10.129223362017006</v>
      </c>
      <c r="H86" s="45">
        <v>1.7569936360412111E-11</v>
      </c>
      <c r="I86" s="49"/>
    </row>
    <row r="87" spans="1:24" ht="24">
      <c r="B87" s="84"/>
      <c r="C87" s="46" t="s">
        <v>203</v>
      </c>
      <c r="D87" s="45">
        <v>1055.6237500000002</v>
      </c>
      <c r="E87" s="47">
        <v>84</v>
      </c>
      <c r="F87" s="45">
        <v>12.566949404761907</v>
      </c>
      <c r="G87" s="48"/>
      <c r="H87" s="48"/>
      <c r="I87" s="49"/>
    </row>
    <row r="88" spans="1:24">
      <c r="B88" s="84"/>
      <c r="C88" s="46" t="s">
        <v>139</v>
      </c>
      <c r="D88" s="45">
        <v>2455.8515625000005</v>
      </c>
      <c r="E88" s="47">
        <v>95</v>
      </c>
      <c r="F88" s="48"/>
      <c r="G88" s="48"/>
      <c r="H88" s="48"/>
      <c r="I88" s="49"/>
    </row>
    <row r="92" spans="1:24">
      <c r="A92" s="78" t="s">
        <v>204</v>
      </c>
      <c r="B92" s="78"/>
      <c r="C92" s="78"/>
      <c r="D92" s="78"/>
      <c r="E92" s="40"/>
    </row>
    <row r="93" spans="1:24">
      <c r="A93" s="79" t="s">
        <v>181</v>
      </c>
      <c r="B93" s="80"/>
      <c r="C93" s="80"/>
      <c r="D93" s="80"/>
      <c r="E93" s="40"/>
    </row>
    <row r="94" spans="1:24" ht="28.5" customHeight="1">
      <c r="A94" s="81" t="s">
        <v>3</v>
      </c>
      <c r="B94" s="81" t="s">
        <v>186</v>
      </c>
      <c r="C94" s="51" t="s">
        <v>205</v>
      </c>
      <c r="D94" s="52">
        <v>8</v>
      </c>
      <c r="E94" s="40"/>
      <c r="F94" s="61" t="s">
        <v>191</v>
      </c>
      <c r="G94" s="50" t="s">
        <v>207</v>
      </c>
      <c r="H94" s="50" t="s">
        <v>208</v>
      </c>
      <c r="I94" s="61" t="s">
        <v>210</v>
      </c>
      <c r="J94" s="50" t="s">
        <v>211</v>
      </c>
      <c r="K94" s="50" t="s">
        <v>212</v>
      </c>
      <c r="O94" s="78" t="s">
        <v>204</v>
      </c>
      <c r="P94" s="78"/>
      <c r="Q94" s="78"/>
      <c r="R94" s="78"/>
      <c r="S94" s="40"/>
      <c r="T94" s="78" t="s">
        <v>204</v>
      </c>
      <c r="U94" s="78"/>
      <c r="V94" s="78"/>
      <c r="W94" s="78"/>
      <c r="X94" s="40"/>
    </row>
    <row r="95" spans="1:24">
      <c r="A95" s="76"/>
      <c r="B95" s="75"/>
      <c r="C95" s="53" t="s">
        <v>206</v>
      </c>
      <c r="D95" s="54">
        <v>0</v>
      </c>
      <c r="E95" s="40"/>
      <c r="F95" s="62" t="s">
        <v>3</v>
      </c>
      <c r="G95" s="63">
        <v>-1690.25</v>
      </c>
      <c r="H95" s="63">
        <v>-1301</v>
      </c>
      <c r="I95" s="45">
        <v>941.79111272086232</v>
      </c>
      <c r="J95" s="50">
        <v>-3563</v>
      </c>
      <c r="K95" s="50">
        <v>-984</v>
      </c>
      <c r="O95" s="79" t="s">
        <v>178</v>
      </c>
      <c r="P95" s="80"/>
      <c r="Q95" s="80"/>
      <c r="R95" s="80"/>
      <c r="S95" s="40"/>
      <c r="T95" s="79" t="s">
        <v>177</v>
      </c>
      <c r="U95" s="80"/>
      <c r="V95" s="80"/>
      <c r="W95" s="80"/>
      <c r="X95" s="40"/>
    </row>
    <row r="96" spans="1:24">
      <c r="A96" s="76"/>
      <c r="B96" s="75" t="s">
        <v>207</v>
      </c>
      <c r="C96" s="75"/>
      <c r="D96" s="55">
        <v>-1690.25</v>
      </c>
      <c r="E96" s="40"/>
      <c r="F96" s="62" t="s">
        <v>4</v>
      </c>
      <c r="G96" s="50">
        <v>-2500</v>
      </c>
      <c r="H96" s="50">
        <v>-2139.5</v>
      </c>
      <c r="I96" s="50">
        <v>952.6756306019679</v>
      </c>
      <c r="J96" s="50">
        <v>-4157</v>
      </c>
      <c r="K96" s="50">
        <v>-1632</v>
      </c>
      <c r="O96" s="81" t="s">
        <v>3</v>
      </c>
      <c r="P96" s="81" t="s">
        <v>186</v>
      </c>
      <c r="Q96" s="51" t="s">
        <v>205</v>
      </c>
      <c r="R96" s="52">
        <v>8</v>
      </c>
      <c r="S96" s="40"/>
      <c r="T96" s="81" t="s">
        <v>3</v>
      </c>
      <c r="U96" s="81" t="s">
        <v>186</v>
      </c>
      <c r="V96" s="51" t="s">
        <v>205</v>
      </c>
      <c r="W96" s="52">
        <v>8</v>
      </c>
      <c r="X96" s="40"/>
    </row>
    <row r="97" spans="1:24">
      <c r="A97" s="76"/>
      <c r="B97" s="75" t="s">
        <v>208</v>
      </c>
      <c r="C97" s="75"/>
      <c r="D97" s="55">
        <v>-1301</v>
      </c>
      <c r="E97" s="40"/>
      <c r="F97" s="62" t="s">
        <v>5</v>
      </c>
      <c r="G97" s="50">
        <v>2233.5</v>
      </c>
      <c r="H97" s="50">
        <v>1961</v>
      </c>
      <c r="I97" s="50">
        <v>1436.927774305803</v>
      </c>
      <c r="J97" s="50">
        <v>816</v>
      </c>
      <c r="K97" s="50">
        <v>4633</v>
      </c>
      <c r="O97" s="76"/>
      <c r="P97" s="75"/>
      <c r="Q97" s="53" t="s">
        <v>206</v>
      </c>
      <c r="R97" s="54">
        <v>0</v>
      </c>
      <c r="S97" s="40"/>
      <c r="T97" s="76"/>
      <c r="U97" s="75"/>
      <c r="V97" s="53" t="s">
        <v>206</v>
      </c>
      <c r="W97" s="54">
        <v>0</v>
      </c>
      <c r="X97" s="40"/>
    </row>
    <row r="98" spans="1:24">
      <c r="A98" s="76"/>
      <c r="B98" s="75" t="s">
        <v>209</v>
      </c>
      <c r="C98" s="75"/>
      <c r="D98" s="56" t="s">
        <v>223</v>
      </c>
      <c r="E98" s="40"/>
      <c r="F98" s="62" t="s">
        <v>6</v>
      </c>
      <c r="G98" s="50">
        <v>-1739.875</v>
      </c>
      <c r="H98" s="50">
        <v>-1520.5</v>
      </c>
      <c r="I98" s="50">
        <v>690.60706990299479</v>
      </c>
      <c r="J98" s="50">
        <v>-2790</v>
      </c>
      <c r="K98" s="50">
        <v>-964</v>
      </c>
      <c r="O98" s="76"/>
      <c r="P98" s="75" t="s">
        <v>207</v>
      </c>
      <c r="Q98" s="75"/>
      <c r="R98" s="57">
        <v>7.7125000000000004</v>
      </c>
      <c r="S98" s="40"/>
      <c r="T98" s="76"/>
      <c r="U98" s="75" t="s">
        <v>207</v>
      </c>
      <c r="V98" s="75"/>
      <c r="W98" s="64">
        <v>56340.032500000001</v>
      </c>
      <c r="X98" s="40"/>
    </row>
    <row r="99" spans="1:24">
      <c r="A99" s="76"/>
      <c r="B99" s="75" t="s">
        <v>210</v>
      </c>
      <c r="C99" s="75"/>
      <c r="D99" s="57">
        <v>941.79111272086232</v>
      </c>
      <c r="E99" s="40"/>
      <c r="F99" s="62" t="s">
        <v>7</v>
      </c>
      <c r="G99" s="50">
        <v>-1322.375</v>
      </c>
      <c r="H99" s="50">
        <v>-1294.5</v>
      </c>
      <c r="I99" s="50">
        <v>396.46759460443747</v>
      </c>
      <c r="J99" s="50">
        <v>-2002</v>
      </c>
      <c r="K99" s="50">
        <v>-818</v>
      </c>
      <c r="O99" s="76"/>
      <c r="P99" s="75" t="s">
        <v>208</v>
      </c>
      <c r="Q99" s="75"/>
      <c r="R99" s="57">
        <v>7.55</v>
      </c>
      <c r="S99" s="40"/>
      <c r="T99" s="76"/>
      <c r="U99" s="75" t="s">
        <v>208</v>
      </c>
      <c r="V99" s="75"/>
      <c r="W99" s="64">
        <v>51398.555</v>
      </c>
      <c r="X99" s="40"/>
    </row>
    <row r="100" spans="1:24">
      <c r="A100" s="76"/>
      <c r="B100" s="75" t="s">
        <v>211</v>
      </c>
      <c r="C100" s="75"/>
      <c r="D100" s="54">
        <v>-3563</v>
      </c>
      <c r="E100" s="40"/>
      <c r="F100" s="62" t="s">
        <v>8</v>
      </c>
      <c r="G100" s="50">
        <v>-1111</v>
      </c>
      <c r="H100" s="50">
        <v>-954</v>
      </c>
      <c r="I100" s="50">
        <v>557.2521870751159</v>
      </c>
      <c r="J100" s="50">
        <v>-2210</v>
      </c>
      <c r="K100" s="50">
        <v>-536</v>
      </c>
      <c r="O100" s="76"/>
      <c r="P100" s="75" t="s">
        <v>210</v>
      </c>
      <c r="Q100" s="75"/>
      <c r="R100" s="64">
        <v>2.8037920750298158</v>
      </c>
      <c r="S100" s="40"/>
      <c r="T100" s="76"/>
      <c r="U100" s="75" t="s">
        <v>210</v>
      </c>
      <c r="V100" s="75"/>
      <c r="W100" s="68">
        <v>9160.6639120157197</v>
      </c>
      <c r="X100" s="40"/>
    </row>
    <row r="101" spans="1:24">
      <c r="A101" s="75"/>
      <c r="B101" s="75" t="s">
        <v>212</v>
      </c>
      <c r="C101" s="75"/>
      <c r="D101" s="54">
        <v>-984</v>
      </c>
      <c r="E101" s="40"/>
      <c r="F101" s="62" t="s">
        <v>9</v>
      </c>
      <c r="G101" s="50">
        <v>-1434.25</v>
      </c>
      <c r="H101" s="50">
        <v>-1131.5</v>
      </c>
      <c r="I101" s="50">
        <v>746.11790527464791</v>
      </c>
      <c r="J101" s="50">
        <v>-2809</v>
      </c>
      <c r="K101" s="50">
        <v>-743</v>
      </c>
      <c r="O101" s="76"/>
      <c r="P101" s="75" t="s">
        <v>211</v>
      </c>
      <c r="Q101" s="75"/>
      <c r="R101" s="65">
        <v>3.1</v>
      </c>
      <c r="S101" s="40"/>
      <c r="T101" s="76"/>
      <c r="U101" s="75" t="s">
        <v>211</v>
      </c>
      <c r="V101" s="75"/>
      <c r="W101" s="55">
        <v>49678.84</v>
      </c>
      <c r="X101" s="40"/>
    </row>
    <row r="102" spans="1:24">
      <c r="A102" s="75" t="s">
        <v>213</v>
      </c>
      <c r="B102" s="75" t="s">
        <v>186</v>
      </c>
      <c r="C102" s="58" t="s">
        <v>205</v>
      </c>
      <c r="D102" s="59">
        <v>8</v>
      </c>
      <c r="E102" s="40"/>
      <c r="F102" s="62" t="s">
        <v>10</v>
      </c>
      <c r="G102" s="50">
        <v>-1129.5</v>
      </c>
      <c r="H102" s="50">
        <v>-951</v>
      </c>
      <c r="I102" s="50">
        <v>547.52586370743381</v>
      </c>
      <c r="J102" s="50">
        <v>-2021</v>
      </c>
      <c r="K102" s="50">
        <v>-614</v>
      </c>
      <c r="O102" s="75"/>
      <c r="P102" s="75" t="s">
        <v>212</v>
      </c>
      <c r="Q102" s="75"/>
      <c r="R102" s="65">
        <v>12.9</v>
      </c>
      <c r="S102" s="40"/>
      <c r="T102" s="75"/>
      <c r="U102" s="75" t="s">
        <v>212</v>
      </c>
      <c r="V102" s="75"/>
      <c r="W102" s="55">
        <v>73901</v>
      </c>
      <c r="X102" s="40"/>
    </row>
    <row r="103" spans="1:24">
      <c r="A103" s="76"/>
      <c r="B103" s="75"/>
      <c r="C103" s="53" t="s">
        <v>206</v>
      </c>
      <c r="D103" s="54">
        <v>0</v>
      </c>
      <c r="E103" s="40"/>
      <c r="F103" s="62" t="s">
        <v>11</v>
      </c>
      <c r="G103" s="50">
        <v>-544.875</v>
      </c>
      <c r="H103" s="50">
        <v>-558</v>
      </c>
      <c r="I103" s="50">
        <v>201.17045899293606</v>
      </c>
      <c r="J103" s="50">
        <v>-934</v>
      </c>
      <c r="K103" s="50">
        <v>-288</v>
      </c>
      <c r="O103" s="75" t="s">
        <v>213</v>
      </c>
      <c r="P103" s="75" t="s">
        <v>186</v>
      </c>
      <c r="Q103" s="58" t="s">
        <v>205</v>
      </c>
      <c r="R103" s="59">
        <v>8</v>
      </c>
      <c r="S103" s="40"/>
      <c r="T103" s="75" t="s">
        <v>213</v>
      </c>
      <c r="U103" s="75" t="s">
        <v>186</v>
      </c>
      <c r="V103" s="58" t="s">
        <v>205</v>
      </c>
      <c r="W103" s="59">
        <v>8</v>
      </c>
      <c r="X103" s="40"/>
    </row>
    <row r="104" spans="1:24">
      <c r="A104" s="76"/>
      <c r="B104" s="75" t="s">
        <v>207</v>
      </c>
      <c r="C104" s="75"/>
      <c r="D104" s="55">
        <v>-2500</v>
      </c>
      <c r="E104" s="40"/>
      <c r="F104" s="62" t="s">
        <v>12</v>
      </c>
      <c r="G104" s="50">
        <v>-735.625</v>
      </c>
      <c r="H104" s="50">
        <v>-610</v>
      </c>
      <c r="I104" s="50">
        <v>329.47227826155137</v>
      </c>
      <c r="J104" s="50">
        <v>-1288</v>
      </c>
      <c r="K104" s="50">
        <v>-425</v>
      </c>
      <c r="O104" s="76"/>
      <c r="P104" s="75"/>
      <c r="Q104" s="53" t="s">
        <v>206</v>
      </c>
      <c r="R104" s="54">
        <v>0</v>
      </c>
      <c r="S104" s="40"/>
      <c r="T104" s="76"/>
      <c r="U104" s="75"/>
      <c r="V104" s="53" t="s">
        <v>206</v>
      </c>
      <c r="W104" s="54">
        <v>0</v>
      </c>
      <c r="X104" s="40"/>
    </row>
    <row r="105" spans="1:24">
      <c r="A105" s="76"/>
      <c r="B105" s="75" t="s">
        <v>208</v>
      </c>
      <c r="C105" s="75"/>
      <c r="D105" s="55">
        <v>-2139.5</v>
      </c>
      <c r="E105" s="40"/>
      <c r="F105" s="62" t="s">
        <v>13</v>
      </c>
      <c r="G105" s="50">
        <v>9926.25</v>
      </c>
      <c r="H105" s="50">
        <v>8411</v>
      </c>
      <c r="I105" s="50">
        <v>3850.077392543094</v>
      </c>
      <c r="J105" s="50">
        <v>6112</v>
      </c>
      <c r="K105" s="50">
        <v>16844</v>
      </c>
      <c r="O105" s="76"/>
      <c r="P105" s="75" t="s">
        <v>207</v>
      </c>
      <c r="Q105" s="75"/>
      <c r="R105" s="57">
        <v>10.862499999999999</v>
      </c>
      <c r="S105" s="40"/>
      <c r="T105" s="76"/>
      <c r="U105" s="75" t="s">
        <v>207</v>
      </c>
      <c r="V105" s="75"/>
      <c r="W105" s="64">
        <v>44836.118750000001</v>
      </c>
      <c r="X105" s="40"/>
    </row>
    <row r="106" spans="1:24">
      <c r="A106" s="76"/>
      <c r="B106" s="75" t="s">
        <v>209</v>
      </c>
      <c r="C106" s="75"/>
      <c r="D106" s="56" t="s">
        <v>224</v>
      </c>
      <c r="E106" s="40"/>
      <c r="F106" s="62" t="s">
        <v>14</v>
      </c>
      <c r="G106" s="50">
        <v>-13</v>
      </c>
      <c r="H106" s="50">
        <v>-55</v>
      </c>
      <c r="I106" s="50">
        <v>158.1951778206728</v>
      </c>
      <c r="J106" s="50">
        <v>-191</v>
      </c>
      <c r="K106" s="50">
        <v>239</v>
      </c>
      <c r="O106" s="76"/>
      <c r="P106" s="75" t="s">
        <v>208</v>
      </c>
      <c r="Q106" s="75"/>
      <c r="R106" s="57">
        <v>9.6</v>
      </c>
      <c r="S106" s="40"/>
      <c r="T106" s="76"/>
      <c r="U106" s="75" t="s">
        <v>208</v>
      </c>
      <c r="V106" s="75"/>
      <c r="W106" s="64">
        <v>42857.654999999999</v>
      </c>
      <c r="X106" s="40"/>
    </row>
    <row r="107" spans="1:24">
      <c r="A107" s="76"/>
      <c r="B107" s="75" t="s">
        <v>210</v>
      </c>
      <c r="C107" s="75"/>
      <c r="D107" s="57">
        <v>952.6756306019679</v>
      </c>
      <c r="E107" s="40"/>
      <c r="O107" s="76"/>
      <c r="P107" s="75" t="s">
        <v>210</v>
      </c>
      <c r="Q107" s="75"/>
      <c r="R107" s="64">
        <v>4.2825017721620888</v>
      </c>
      <c r="S107" s="40"/>
      <c r="T107" s="76"/>
      <c r="U107" s="75" t="s">
        <v>210</v>
      </c>
      <c r="V107" s="75"/>
      <c r="W107" s="68">
        <v>5551.0237842567321</v>
      </c>
      <c r="X107" s="40"/>
    </row>
    <row r="108" spans="1:24">
      <c r="A108" s="76"/>
      <c r="B108" s="75" t="s">
        <v>211</v>
      </c>
      <c r="C108" s="75"/>
      <c r="D108" s="54">
        <v>-4157</v>
      </c>
      <c r="E108" s="40"/>
      <c r="O108" s="76"/>
      <c r="P108" s="75" t="s">
        <v>211</v>
      </c>
      <c r="Q108" s="75"/>
      <c r="R108" s="65">
        <v>5.9</v>
      </c>
      <c r="S108" s="40"/>
      <c r="T108" s="76"/>
      <c r="U108" s="75" t="s">
        <v>211</v>
      </c>
      <c r="V108" s="75"/>
      <c r="W108" s="55">
        <v>40380.050000000003</v>
      </c>
      <c r="X108" s="40"/>
    </row>
    <row r="109" spans="1:24" ht="30">
      <c r="A109" s="75"/>
      <c r="B109" s="75" t="s">
        <v>212</v>
      </c>
      <c r="C109" s="75"/>
      <c r="D109" s="54">
        <v>-1632</v>
      </c>
      <c r="E109" s="40"/>
      <c r="F109" s="61" t="s">
        <v>193</v>
      </c>
      <c r="G109" s="50" t="s">
        <v>207</v>
      </c>
      <c r="H109" s="50" t="s">
        <v>208</v>
      </c>
      <c r="I109" s="61" t="s">
        <v>210</v>
      </c>
      <c r="J109" s="50" t="s">
        <v>211</v>
      </c>
      <c r="K109" s="50" t="s">
        <v>212</v>
      </c>
      <c r="O109" s="75"/>
      <c r="P109" s="75" t="s">
        <v>212</v>
      </c>
      <c r="Q109" s="75"/>
      <c r="R109" s="65">
        <v>17.8</v>
      </c>
      <c r="S109" s="40"/>
      <c r="T109" s="75"/>
      <c r="U109" s="75" t="s">
        <v>212</v>
      </c>
      <c r="V109" s="75"/>
      <c r="W109" s="55">
        <v>56301.69</v>
      </c>
      <c r="X109" s="40"/>
    </row>
    <row r="110" spans="1:24">
      <c r="A110" s="75" t="s">
        <v>214</v>
      </c>
      <c r="B110" s="75" t="s">
        <v>186</v>
      </c>
      <c r="C110" s="58" t="s">
        <v>205</v>
      </c>
      <c r="D110" s="59">
        <v>8</v>
      </c>
      <c r="E110" s="40"/>
      <c r="F110" s="62" t="s">
        <v>3</v>
      </c>
      <c r="G110" s="63">
        <v>7.7125000000000004</v>
      </c>
      <c r="H110" s="63">
        <v>7.55</v>
      </c>
      <c r="I110" s="63">
        <v>2.8037920750298158</v>
      </c>
      <c r="J110" s="50">
        <v>3.1</v>
      </c>
      <c r="K110" s="50">
        <v>12.9</v>
      </c>
      <c r="O110" s="75" t="s">
        <v>214</v>
      </c>
      <c r="P110" s="75" t="s">
        <v>186</v>
      </c>
      <c r="Q110" s="58" t="s">
        <v>205</v>
      </c>
      <c r="R110" s="59">
        <v>8</v>
      </c>
      <c r="S110" s="40"/>
      <c r="T110" s="75" t="s">
        <v>214</v>
      </c>
      <c r="U110" s="75" t="s">
        <v>186</v>
      </c>
      <c r="V110" s="58" t="s">
        <v>205</v>
      </c>
      <c r="W110" s="59">
        <v>8</v>
      </c>
      <c r="X110" s="40"/>
    </row>
    <row r="111" spans="1:24">
      <c r="A111" s="76"/>
      <c r="B111" s="75"/>
      <c r="C111" s="53" t="s">
        <v>206</v>
      </c>
      <c r="D111" s="54">
        <v>0</v>
      </c>
      <c r="E111" s="40"/>
      <c r="F111" s="62" t="s">
        <v>4</v>
      </c>
      <c r="G111" s="67">
        <v>10.862499999999999</v>
      </c>
      <c r="H111" s="50">
        <v>9.6</v>
      </c>
      <c r="I111" s="67">
        <v>4.2825017721620888</v>
      </c>
      <c r="J111" s="50">
        <v>5.9</v>
      </c>
      <c r="K111" s="50">
        <v>17.8</v>
      </c>
      <c r="O111" s="76"/>
      <c r="P111" s="75"/>
      <c r="Q111" s="53" t="s">
        <v>206</v>
      </c>
      <c r="R111" s="54">
        <v>0</v>
      </c>
      <c r="S111" s="40"/>
      <c r="T111" s="76"/>
      <c r="U111" s="75"/>
      <c r="V111" s="53" t="s">
        <v>206</v>
      </c>
      <c r="W111" s="54">
        <v>0</v>
      </c>
      <c r="X111" s="40"/>
    </row>
    <row r="112" spans="1:24">
      <c r="A112" s="76"/>
      <c r="B112" s="75" t="s">
        <v>207</v>
      </c>
      <c r="C112" s="75"/>
      <c r="D112" s="55">
        <v>2233.5</v>
      </c>
      <c r="E112" s="40"/>
      <c r="F112" s="62" t="s">
        <v>5</v>
      </c>
      <c r="G112" s="67">
        <v>13.025000000000002</v>
      </c>
      <c r="H112" s="50">
        <v>13.55</v>
      </c>
      <c r="I112" s="67">
        <v>2.9936838271839696</v>
      </c>
      <c r="J112" s="50">
        <v>6.3</v>
      </c>
      <c r="K112" s="50">
        <v>16.100000000000001</v>
      </c>
      <c r="O112" s="76"/>
      <c r="P112" s="75" t="s">
        <v>207</v>
      </c>
      <c r="Q112" s="75"/>
      <c r="R112" s="57">
        <v>13.025000000000002</v>
      </c>
      <c r="S112" s="40"/>
      <c r="T112" s="76"/>
      <c r="U112" s="75" t="s">
        <v>207</v>
      </c>
      <c r="V112" s="75"/>
      <c r="W112" s="64">
        <v>156944.08500000002</v>
      </c>
      <c r="X112" s="40"/>
    </row>
    <row r="113" spans="1:24">
      <c r="A113" s="76"/>
      <c r="B113" s="75" t="s">
        <v>208</v>
      </c>
      <c r="C113" s="75"/>
      <c r="D113" s="55">
        <v>1961</v>
      </c>
      <c r="E113" s="40"/>
      <c r="F113" s="62" t="s">
        <v>6</v>
      </c>
      <c r="G113" s="67">
        <v>8.9</v>
      </c>
      <c r="H113" s="50">
        <v>7</v>
      </c>
      <c r="I113" s="67">
        <v>3.7637367450067871</v>
      </c>
      <c r="J113" s="50">
        <v>5.4</v>
      </c>
      <c r="K113" s="50">
        <v>15.9</v>
      </c>
      <c r="O113" s="76"/>
      <c r="P113" s="75" t="s">
        <v>208</v>
      </c>
      <c r="Q113" s="75"/>
      <c r="R113" s="57">
        <v>13.55</v>
      </c>
      <c r="S113" s="40"/>
      <c r="T113" s="76"/>
      <c r="U113" s="75" t="s">
        <v>208</v>
      </c>
      <c r="V113" s="75"/>
      <c r="W113" s="64">
        <v>143125.85999999999</v>
      </c>
      <c r="X113" s="40"/>
    </row>
    <row r="114" spans="1:24">
      <c r="A114" s="76"/>
      <c r="B114" s="75" t="s">
        <v>209</v>
      </c>
      <c r="C114" s="75"/>
      <c r="D114" s="56" t="s">
        <v>225</v>
      </c>
      <c r="E114" s="40"/>
      <c r="F114" s="62" t="s">
        <v>7</v>
      </c>
      <c r="G114" s="67">
        <v>9.5374999999999996</v>
      </c>
      <c r="H114" s="50">
        <v>8.8999999999999986</v>
      </c>
      <c r="I114" s="67">
        <v>2.6581075437772856</v>
      </c>
      <c r="J114" s="50">
        <v>5.9</v>
      </c>
      <c r="K114" s="50">
        <v>13.9</v>
      </c>
      <c r="O114" s="76"/>
      <c r="P114" s="75" t="s">
        <v>210</v>
      </c>
      <c r="Q114" s="75"/>
      <c r="R114" s="64">
        <v>2.9936838271839696</v>
      </c>
      <c r="S114" s="40"/>
      <c r="T114" s="76"/>
      <c r="U114" s="75" t="s">
        <v>210</v>
      </c>
      <c r="V114" s="75"/>
      <c r="W114" s="68">
        <v>30241.986779400875</v>
      </c>
      <c r="X114" s="40"/>
    </row>
    <row r="115" spans="1:24">
      <c r="A115" s="76"/>
      <c r="B115" s="75" t="s">
        <v>210</v>
      </c>
      <c r="C115" s="75"/>
      <c r="D115" s="57">
        <v>1436.927774305803</v>
      </c>
      <c r="E115" s="40"/>
      <c r="F115" s="62" t="s">
        <v>8</v>
      </c>
      <c r="G115" s="67">
        <v>7.6624999999999996</v>
      </c>
      <c r="H115" s="50">
        <v>6.7</v>
      </c>
      <c r="I115" s="67">
        <v>3.6110692915771399</v>
      </c>
      <c r="J115" s="50">
        <v>3.5</v>
      </c>
      <c r="K115" s="50">
        <v>13.5</v>
      </c>
      <c r="O115" s="76"/>
      <c r="P115" s="75" t="s">
        <v>211</v>
      </c>
      <c r="Q115" s="75"/>
      <c r="R115" s="65">
        <v>6.3</v>
      </c>
      <c r="S115" s="40"/>
      <c r="T115" s="76"/>
      <c r="U115" s="75" t="s">
        <v>211</v>
      </c>
      <c r="V115" s="75"/>
      <c r="W115" s="55">
        <v>126401.4</v>
      </c>
      <c r="X115" s="40"/>
    </row>
    <row r="116" spans="1:24">
      <c r="A116" s="76"/>
      <c r="B116" s="75" t="s">
        <v>211</v>
      </c>
      <c r="C116" s="75"/>
      <c r="D116" s="54">
        <v>816</v>
      </c>
      <c r="E116" s="40"/>
      <c r="F116" s="62" t="s">
        <v>9</v>
      </c>
      <c r="G116" s="67">
        <v>8.2750000000000004</v>
      </c>
      <c r="H116" s="50">
        <v>8.4</v>
      </c>
      <c r="I116" s="67">
        <v>1.2825755338380658</v>
      </c>
      <c r="J116" s="50">
        <v>5.9</v>
      </c>
      <c r="K116" s="50">
        <v>9.6999999999999993</v>
      </c>
      <c r="O116" s="75"/>
      <c r="P116" s="75" t="s">
        <v>212</v>
      </c>
      <c r="Q116" s="75"/>
      <c r="R116" s="65">
        <v>16.100000000000001</v>
      </c>
      <c r="S116" s="40"/>
      <c r="T116" s="75"/>
      <c r="U116" s="75" t="s">
        <v>212</v>
      </c>
      <c r="V116" s="75"/>
      <c r="W116" s="55">
        <v>212544.64000000001</v>
      </c>
      <c r="X116" s="40"/>
    </row>
    <row r="117" spans="1:24">
      <c r="A117" s="75"/>
      <c r="B117" s="75" t="s">
        <v>212</v>
      </c>
      <c r="C117" s="75"/>
      <c r="D117" s="54">
        <v>4633</v>
      </c>
      <c r="E117" s="40"/>
      <c r="F117" s="62" t="s">
        <v>10</v>
      </c>
      <c r="G117" s="67">
        <v>8.5375000000000014</v>
      </c>
      <c r="H117" s="50">
        <v>7.35</v>
      </c>
      <c r="I117" s="67">
        <v>4.4705185062010102</v>
      </c>
      <c r="J117" s="50">
        <v>4</v>
      </c>
      <c r="K117" s="50">
        <v>16.899999999999999</v>
      </c>
      <c r="O117" s="75" t="s">
        <v>6</v>
      </c>
      <c r="P117" s="75" t="s">
        <v>186</v>
      </c>
      <c r="Q117" s="58" t="s">
        <v>205</v>
      </c>
      <c r="R117" s="59">
        <v>8</v>
      </c>
      <c r="S117" s="40"/>
      <c r="T117" s="75" t="s">
        <v>6</v>
      </c>
      <c r="U117" s="75" t="s">
        <v>186</v>
      </c>
      <c r="V117" s="58" t="s">
        <v>205</v>
      </c>
      <c r="W117" s="59">
        <v>8</v>
      </c>
      <c r="X117" s="40"/>
    </row>
    <row r="118" spans="1:24">
      <c r="A118" s="75" t="s">
        <v>6</v>
      </c>
      <c r="B118" s="75" t="s">
        <v>186</v>
      </c>
      <c r="C118" s="58" t="s">
        <v>205</v>
      </c>
      <c r="D118" s="59">
        <v>8</v>
      </c>
      <c r="E118" s="40"/>
      <c r="F118" s="62" t="s">
        <v>11</v>
      </c>
      <c r="G118" s="67">
        <v>19.45</v>
      </c>
      <c r="H118" s="50">
        <v>19.399999999999999</v>
      </c>
      <c r="I118" s="67">
        <v>2.9061511119888941</v>
      </c>
      <c r="J118" s="50">
        <v>15</v>
      </c>
      <c r="K118" s="50">
        <v>22.7</v>
      </c>
      <c r="O118" s="76"/>
      <c r="P118" s="75"/>
      <c r="Q118" s="53" t="s">
        <v>206</v>
      </c>
      <c r="R118" s="54">
        <v>0</v>
      </c>
      <c r="S118" s="40"/>
      <c r="T118" s="76"/>
      <c r="U118" s="75"/>
      <c r="V118" s="53" t="s">
        <v>206</v>
      </c>
      <c r="W118" s="54">
        <v>0</v>
      </c>
      <c r="X118" s="40"/>
    </row>
    <row r="119" spans="1:24">
      <c r="A119" s="76"/>
      <c r="B119" s="75"/>
      <c r="C119" s="53" t="s">
        <v>206</v>
      </c>
      <c r="D119" s="54">
        <v>0</v>
      </c>
      <c r="E119" s="40"/>
      <c r="F119" s="62" t="s">
        <v>12</v>
      </c>
      <c r="G119" s="67">
        <v>11.15</v>
      </c>
      <c r="H119" s="50">
        <v>12</v>
      </c>
      <c r="I119" s="67">
        <v>2.5612496949731396</v>
      </c>
      <c r="J119" s="50">
        <v>6.3</v>
      </c>
      <c r="K119" s="50">
        <v>14.5</v>
      </c>
      <c r="O119" s="76"/>
      <c r="P119" s="75" t="s">
        <v>207</v>
      </c>
      <c r="Q119" s="75"/>
      <c r="R119" s="57">
        <v>8.9</v>
      </c>
      <c r="S119" s="40"/>
      <c r="T119" s="76"/>
      <c r="U119" s="75" t="s">
        <v>207</v>
      </c>
      <c r="V119" s="75"/>
      <c r="W119" s="64">
        <v>103402.15249999998</v>
      </c>
      <c r="X119" s="40"/>
    </row>
    <row r="120" spans="1:24">
      <c r="A120" s="76"/>
      <c r="B120" s="75" t="s">
        <v>207</v>
      </c>
      <c r="C120" s="75"/>
      <c r="D120" s="55">
        <v>-1739.875</v>
      </c>
      <c r="E120" s="40"/>
      <c r="F120" s="62" t="s">
        <v>13</v>
      </c>
      <c r="G120" s="67">
        <v>14.475000000000001</v>
      </c>
      <c r="H120" s="50">
        <v>14.35</v>
      </c>
      <c r="I120" s="67">
        <v>2.9769351449339396</v>
      </c>
      <c r="J120" s="50">
        <v>10.7</v>
      </c>
      <c r="K120" s="50">
        <v>19.7</v>
      </c>
      <c r="O120" s="76"/>
      <c r="P120" s="75" t="s">
        <v>208</v>
      </c>
      <c r="Q120" s="75"/>
      <c r="R120" s="57">
        <v>7</v>
      </c>
      <c r="S120" s="40"/>
      <c r="T120" s="76"/>
      <c r="U120" s="75" t="s">
        <v>208</v>
      </c>
      <c r="V120" s="75"/>
      <c r="W120" s="64">
        <v>96844.800000000003</v>
      </c>
      <c r="X120" s="40"/>
    </row>
    <row r="121" spans="1:24">
      <c r="A121" s="76"/>
      <c r="B121" s="75" t="s">
        <v>208</v>
      </c>
      <c r="C121" s="75"/>
      <c r="D121" s="55">
        <v>-1520.5</v>
      </c>
      <c r="E121" s="40"/>
      <c r="F121" s="62" t="s">
        <v>14</v>
      </c>
      <c r="G121" s="67">
        <v>17.925000000000001</v>
      </c>
      <c r="H121" s="50">
        <v>18.05</v>
      </c>
      <c r="I121" s="67">
        <v>5.9892165001537787</v>
      </c>
      <c r="J121" s="50">
        <v>6.3</v>
      </c>
      <c r="K121" s="50">
        <v>24.7</v>
      </c>
      <c r="O121" s="76"/>
      <c r="P121" s="75" t="s">
        <v>210</v>
      </c>
      <c r="Q121" s="75"/>
      <c r="R121" s="64">
        <v>3.7637367450067871</v>
      </c>
      <c r="S121" s="40"/>
      <c r="T121" s="76"/>
      <c r="U121" s="75" t="s">
        <v>210</v>
      </c>
      <c r="V121" s="75"/>
      <c r="W121" s="68">
        <v>14789.153521591181</v>
      </c>
      <c r="X121" s="40"/>
    </row>
    <row r="122" spans="1:24">
      <c r="A122" s="76"/>
      <c r="B122" s="75" t="s">
        <v>209</v>
      </c>
      <c r="C122" s="75"/>
      <c r="D122" s="56" t="s">
        <v>226</v>
      </c>
      <c r="E122" s="40"/>
      <c r="O122" s="76"/>
      <c r="P122" s="75" t="s">
        <v>211</v>
      </c>
      <c r="Q122" s="75"/>
      <c r="R122" s="65">
        <v>5.4</v>
      </c>
      <c r="S122" s="40"/>
      <c r="T122" s="76"/>
      <c r="U122" s="75" t="s">
        <v>211</v>
      </c>
      <c r="V122" s="75"/>
      <c r="W122" s="55">
        <v>90995.78</v>
      </c>
      <c r="X122" s="40"/>
    </row>
    <row r="123" spans="1:24">
      <c r="A123" s="76"/>
      <c r="B123" s="75" t="s">
        <v>210</v>
      </c>
      <c r="C123" s="75"/>
      <c r="D123" s="57">
        <v>690.60706990299479</v>
      </c>
      <c r="E123" s="40"/>
      <c r="O123" s="75"/>
      <c r="P123" s="75" t="s">
        <v>212</v>
      </c>
      <c r="Q123" s="75"/>
      <c r="R123" s="65">
        <v>15.9</v>
      </c>
      <c r="S123" s="40"/>
      <c r="T123" s="75"/>
      <c r="U123" s="75" t="s">
        <v>212</v>
      </c>
      <c r="V123" s="75"/>
      <c r="W123" s="55">
        <v>131747.84</v>
      </c>
      <c r="X123" s="40"/>
    </row>
    <row r="124" spans="1:24" ht="30">
      <c r="A124" s="76"/>
      <c r="B124" s="75" t="s">
        <v>211</v>
      </c>
      <c r="C124" s="75"/>
      <c r="D124" s="54">
        <v>-2790</v>
      </c>
      <c r="E124" s="40"/>
      <c r="F124" s="61" t="s">
        <v>192</v>
      </c>
      <c r="G124" s="50" t="s">
        <v>207</v>
      </c>
      <c r="H124" s="50" t="s">
        <v>208</v>
      </c>
      <c r="I124" s="61" t="s">
        <v>210</v>
      </c>
      <c r="J124" s="50" t="s">
        <v>211</v>
      </c>
      <c r="K124" s="50" t="s">
        <v>212</v>
      </c>
      <c r="O124" s="75" t="s">
        <v>7</v>
      </c>
      <c r="P124" s="75" t="s">
        <v>186</v>
      </c>
      <c r="Q124" s="58" t="s">
        <v>205</v>
      </c>
      <c r="R124" s="59">
        <v>8</v>
      </c>
      <c r="S124" s="40"/>
      <c r="T124" s="75" t="s">
        <v>7</v>
      </c>
      <c r="U124" s="75" t="s">
        <v>186</v>
      </c>
      <c r="V124" s="58" t="s">
        <v>205</v>
      </c>
      <c r="W124" s="59">
        <v>8</v>
      </c>
      <c r="X124" s="40"/>
    </row>
    <row r="125" spans="1:24">
      <c r="A125" s="75"/>
      <c r="B125" s="75" t="s">
        <v>212</v>
      </c>
      <c r="C125" s="75"/>
      <c r="D125" s="54">
        <v>-964</v>
      </c>
      <c r="E125" s="40"/>
      <c r="F125" s="62" t="s">
        <v>3</v>
      </c>
      <c r="G125" s="63">
        <v>56340.032500000001</v>
      </c>
      <c r="H125" s="63">
        <v>51398.555</v>
      </c>
      <c r="I125" s="63">
        <v>9160.6639120157197</v>
      </c>
      <c r="J125" s="50">
        <v>49678.84</v>
      </c>
      <c r="K125" s="50">
        <v>73901</v>
      </c>
      <c r="O125" s="76"/>
      <c r="P125" s="75"/>
      <c r="Q125" s="53" t="s">
        <v>206</v>
      </c>
      <c r="R125" s="54">
        <v>0</v>
      </c>
      <c r="S125" s="40"/>
      <c r="T125" s="76"/>
      <c r="U125" s="75"/>
      <c r="V125" s="53" t="s">
        <v>206</v>
      </c>
      <c r="W125" s="54">
        <v>0</v>
      </c>
      <c r="X125" s="40"/>
    </row>
    <row r="126" spans="1:24">
      <c r="A126" s="75" t="s">
        <v>7</v>
      </c>
      <c r="B126" s="75" t="s">
        <v>186</v>
      </c>
      <c r="C126" s="58" t="s">
        <v>205</v>
      </c>
      <c r="D126" s="59">
        <v>8</v>
      </c>
      <c r="E126" s="40"/>
      <c r="F126" s="62" t="s">
        <v>4</v>
      </c>
      <c r="G126" s="67">
        <v>44836.118750000001</v>
      </c>
      <c r="H126" s="50">
        <v>42857.654999999999</v>
      </c>
      <c r="I126" s="67">
        <v>5551.0237842567321</v>
      </c>
      <c r="J126" s="50">
        <v>40380.050000000003</v>
      </c>
      <c r="K126" s="50">
        <v>56301.69</v>
      </c>
      <c r="O126" s="76"/>
      <c r="P126" s="75" t="s">
        <v>207</v>
      </c>
      <c r="Q126" s="75"/>
      <c r="R126" s="57">
        <v>9.5374999999999996</v>
      </c>
      <c r="S126" s="40"/>
      <c r="T126" s="76"/>
      <c r="U126" s="75" t="s">
        <v>207</v>
      </c>
      <c r="V126" s="75"/>
      <c r="W126" s="64">
        <v>168715.26625000002</v>
      </c>
      <c r="X126" s="40"/>
    </row>
    <row r="127" spans="1:24">
      <c r="A127" s="76"/>
      <c r="B127" s="75"/>
      <c r="C127" s="53" t="s">
        <v>206</v>
      </c>
      <c r="D127" s="54">
        <v>0</v>
      </c>
      <c r="E127" s="40"/>
      <c r="F127" s="62" t="s">
        <v>5</v>
      </c>
      <c r="G127" s="67">
        <v>156944.08500000002</v>
      </c>
      <c r="H127" s="50">
        <v>143125.85999999999</v>
      </c>
      <c r="I127" s="67">
        <v>30241.986779400875</v>
      </c>
      <c r="J127" s="50">
        <v>126401.4</v>
      </c>
      <c r="K127" s="50">
        <v>212544.64000000001</v>
      </c>
      <c r="O127" s="76"/>
      <c r="P127" s="75" t="s">
        <v>208</v>
      </c>
      <c r="Q127" s="75"/>
      <c r="R127" s="57">
        <v>8.8999999999999986</v>
      </c>
      <c r="S127" s="40"/>
      <c r="T127" s="76"/>
      <c r="U127" s="75" t="s">
        <v>208</v>
      </c>
      <c r="V127" s="75"/>
      <c r="W127" s="64">
        <v>159228.07</v>
      </c>
      <c r="X127" s="40"/>
    </row>
    <row r="128" spans="1:24">
      <c r="A128" s="76"/>
      <c r="B128" s="75" t="s">
        <v>207</v>
      </c>
      <c r="C128" s="75"/>
      <c r="D128" s="55">
        <v>-1322.375</v>
      </c>
      <c r="E128" s="40"/>
      <c r="F128" s="62" t="s">
        <v>6</v>
      </c>
      <c r="G128" s="67">
        <v>103402.15249999998</v>
      </c>
      <c r="H128" s="50">
        <v>96844.800000000003</v>
      </c>
      <c r="I128" s="67">
        <v>14789.153521591181</v>
      </c>
      <c r="J128" s="50">
        <v>90995.78</v>
      </c>
      <c r="K128" s="50">
        <v>131747.84</v>
      </c>
      <c r="O128" s="76"/>
      <c r="P128" s="75" t="s">
        <v>210</v>
      </c>
      <c r="Q128" s="75"/>
      <c r="R128" s="64">
        <v>2.6581075437772856</v>
      </c>
      <c r="S128" s="40"/>
      <c r="T128" s="76"/>
      <c r="U128" s="75" t="s">
        <v>210</v>
      </c>
      <c r="V128" s="75"/>
      <c r="W128" s="68">
        <v>26008.786308634757</v>
      </c>
      <c r="X128" s="40"/>
    </row>
    <row r="129" spans="1:24">
      <c r="A129" s="76"/>
      <c r="B129" s="75" t="s">
        <v>208</v>
      </c>
      <c r="C129" s="75"/>
      <c r="D129" s="55">
        <v>-1294.5</v>
      </c>
      <c r="E129" s="40"/>
      <c r="F129" s="62" t="s">
        <v>7</v>
      </c>
      <c r="G129" s="67">
        <v>168715.26625000002</v>
      </c>
      <c r="H129" s="50">
        <v>159228.07</v>
      </c>
      <c r="I129" s="67">
        <v>26008.786308634757</v>
      </c>
      <c r="J129" s="50">
        <v>142903.95000000001</v>
      </c>
      <c r="K129" s="50">
        <v>217664.59</v>
      </c>
      <c r="O129" s="76"/>
      <c r="P129" s="75" t="s">
        <v>211</v>
      </c>
      <c r="Q129" s="75"/>
      <c r="R129" s="65">
        <v>5.9</v>
      </c>
      <c r="S129" s="40"/>
      <c r="T129" s="76"/>
      <c r="U129" s="75" t="s">
        <v>211</v>
      </c>
      <c r="V129" s="75"/>
      <c r="W129" s="55">
        <v>142903.95000000001</v>
      </c>
      <c r="X129" s="40"/>
    </row>
    <row r="130" spans="1:24">
      <c r="A130" s="76"/>
      <c r="B130" s="75" t="s">
        <v>209</v>
      </c>
      <c r="C130" s="75"/>
      <c r="D130" s="56" t="s">
        <v>227</v>
      </c>
      <c r="E130" s="40"/>
      <c r="F130" s="62" t="s">
        <v>8</v>
      </c>
      <c r="G130" s="67">
        <v>35072.858749999999</v>
      </c>
      <c r="H130" s="50">
        <v>33610.214999999997</v>
      </c>
      <c r="I130" s="67">
        <v>5328.2121639960405</v>
      </c>
      <c r="J130" s="50">
        <v>30063.119999999999</v>
      </c>
      <c r="K130" s="50">
        <v>44661</v>
      </c>
      <c r="O130" s="75"/>
      <c r="P130" s="75" t="s">
        <v>212</v>
      </c>
      <c r="Q130" s="75"/>
      <c r="R130" s="65">
        <v>13.9</v>
      </c>
      <c r="S130" s="40"/>
      <c r="T130" s="75"/>
      <c r="U130" s="75" t="s">
        <v>212</v>
      </c>
      <c r="V130" s="75"/>
      <c r="W130" s="55">
        <v>217664.59</v>
      </c>
      <c r="X130" s="40"/>
    </row>
    <row r="131" spans="1:24">
      <c r="A131" s="76"/>
      <c r="B131" s="75" t="s">
        <v>210</v>
      </c>
      <c r="C131" s="75"/>
      <c r="D131" s="57">
        <v>396.46759460443747</v>
      </c>
      <c r="E131" s="40"/>
      <c r="F131" s="62" t="s">
        <v>9</v>
      </c>
      <c r="G131" s="67">
        <v>82617.813750000001</v>
      </c>
      <c r="H131" s="50">
        <v>80615.464999999997</v>
      </c>
      <c r="I131" s="67">
        <v>8557.2736605732716</v>
      </c>
      <c r="J131" s="50">
        <v>73838.5</v>
      </c>
      <c r="K131" s="50">
        <v>99976</v>
      </c>
      <c r="O131" s="75" t="s">
        <v>215</v>
      </c>
      <c r="P131" s="75" t="s">
        <v>186</v>
      </c>
      <c r="Q131" s="58" t="s">
        <v>205</v>
      </c>
      <c r="R131" s="59">
        <v>8</v>
      </c>
      <c r="S131" s="40"/>
      <c r="T131" s="75" t="s">
        <v>215</v>
      </c>
      <c r="U131" s="75" t="s">
        <v>186</v>
      </c>
      <c r="V131" s="58" t="s">
        <v>205</v>
      </c>
      <c r="W131" s="59">
        <v>8</v>
      </c>
      <c r="X131" s="40"/>
    </row>
    <row r="132" spans="1:24">
      <c r="A132" s="76"/>
      <c r="B132" s="75" t="s">
        <v>211</v>
      </c>
      <c r="C132" s="75"/>
      <c r="D132" s="54">
        <v>-2002</v>
      </c>
      <c r="E132" s="40"/>
      <c r="F132" s="62" t="s">
        <v>10</v>
      </c>
      <c r="G132" s="67">
        <v>24137.116250000003</v>
      </c>
      <c r="H132" s="50">
        <v>23513.745000000003</v>
      </c>
      <c r="I132" s="67">
        <v>2755.5764263291758</v>
      </c>
      <c r="J132" s="50">
        <v>20718.259999999998</v>
      </c>
      <c r="K132" s="50">
        <v>29562</v>
      </c>
      <c r="O132" s="76"/>
      <c r="P132" s="75"/>
      <c r="Q132" s="53" t="s">
        <v>206</v>
      </c>
      <c r="R132" s="54">
        <v>0</v>
      </c>
      <c r="S132" s="40"/>
      <c r="T132" s="76"/>
      <c r="U132" s="75"/>
      <c r="V132" s="53" t="s">
        <v>206</v>
      </c>
      <c r="W132" s="54">
        <v>0</v>
      </c>
      <c r="X132" s="40"/>
    </row>
    <row r="133" spans="1:24">
      <c r="A133" s="75"/>
      <c r="B133" s="75" t="s">
        <v>212</v>
      </c>
      <c r="C133" s="75"/>
      <c r="D133" s="54">
        <v>-818</v>
      </c>
      <c r="E133" s="40"/>
      <c r="F133" s="62" t="s">
        <v>11</v>
      </c>
      <c r="G133" s="67">
        <v>48738.237500000003</v>
      </c>
      <c r="H133" s="50">
        <v>46676.72</v>
      </c>
      <c r="I133" s="67">
        <v>6136.0130663339878</v>
      </c>
      <c r="J133" s="50">
        <v>43670.15</v>
      </c>
      <c r="K133" s="50">
        <v>61033</v>
      </c>
      <c r="O133" s="76"/>
      <c r="P133" s="75" t="s">
        <v>207</v>
      </c>
      <c r="Q133" s="75"/>
      <c r="R133" s="57">
        <v>7.6624999999999996</v>
      </c>
      <c r="S133" s="40"/>
      <c r="T133" s="76"/>
      <c r="U133" s="75" t="s">
        <v>207</v>
      </c>
      <c r="V133" s="75"/>
      <c r="W133" s="64">
        <v>35072.858749999999</v>
      </c>
      <c r="X133" s="40"/>
    </row>
    <row r="134" spans="1:24">
      <c r="A134" s="75" t="s">
        <v>215</v>
      </c>
      <c r="B134" s="75" t="s">
        <v>186</v>
      </c>
      <c r="C134" s="58" t="s">
        <v>205</v>
      </c>
      <c r="D134" s="59">
        <v>8</v>
      </c>
      <c r="E134" s="40"/>
      <c r="F134" s="62" t="s">
        <v>12</v>
      </c>
      <c r="G134" s="67">
        <v>79463.112500000003</v>
      </c>
      <c r="H134" s="50">
        <v>73247.904999999999</v>
      </c>
      <c r="I134" s="67">
        <v>13030.769875604599</v>
      </c>
      <c r="J134" s="50">
        <v>69727.990000000005</v>
      </c>
      <c r="K134" s="50">
        <v>103758</v>
      </c>
      <c r="O134" s="76"/>
      <c r="P134" s="75" t="s">
        <v>208</v>
      </c>
      <c r="Q134" s="75"/>
      <c r="R134" s="57">
        <v>6.7</v>
      </c>
      <c r="S134" s="40"/>
      <c r="T134" s="76"/>
      <c r="U134" s="75" t="s">
        <v>208</v>
      </c>
      <c r="V134" s="75"/>
      <c r="W134" s="64">
        <v>33610.214999999997</v>
      </c>
      <c r="X134" s="40"/>
    </row>
    <row r="135" spans="1:24">
      <c r="A135" s="76"/>
      <c r="B135" s="75"/>
      <c r="C135" s="53" t="s">
        <v>206</v>
      </c>
      <c r="D135" s="54">
        <v>0</v>
      </c>
      <c r="E135" s="40"/>
      <c r="F135" s="62" t="s">
        <v>13</v>
      </c>
      <c r="G135" s="67">
        <v>673492.49124999996</v>
      </c>
      <c r="H135" s="50">
        <v>641014.34499999997</v>
      </c>
      <c r="I135" s="67">
        <v>128432.64044871331</v>
      </c>
      <c r="J135" s="50">
        <v>515440.69</v>
      </c>
      <c r="K135" s="50">
        <v>903156</v>
      </c>
      <c r="O135" s="76"/>
      <c r="P135" s="75" t="s">
        <v>210</v>
      </c>
      <c r="Q135" s="75"/>
      <c r="R135" s="64">
        <v>3.6110692915771399</v>
      </c>
      <c r="S135" s="40"/>
      <c r="T135" s="76"/>
      <c r="U135" s="75" t="s">
        <v>210</v>
      </c>
      <c r="V135" s="75"/>
      <c r="W135" s="68">
        <v>5328.2121639960405</v>
      </c>
      <c r="X135" s="40"/>
    </row>
    <row r="136" spans="1:24">
      <c r="A136" s="76"/>
      <c r="B136" s="75" t="s">
        <v>207</v>
      </c>
      <c r="C136" s="75"/>
      <c r="D136" s="55">
        <v>-1111</v>
      </c>
      <c r="E136" s="40"/>
      <c r="F136" s="62" t="s">
        <v>14</v>
      </c>
      <c r="G136" s="67">
        <v>91040.962500000009</v>
      </c>
      <c r="H136" s="50">
        <v>84071.075000000012</v>
      </c>
      <c r="I136" s="67">
        <v>17660.451270843037</v>
      </c>
      <c r="J136" s="50">
        <v>75709.09</v>
      </c>
      <c r="K136" s="50">
        <v>124976.88</v>
      </c>
      <c r="O136" s="76"/>
      <c r="P136" s="75" t="s">
        <v>211</v>
      </c>
      <c r="Q136" s="75"/>
      <c r="R136" s="65">
        <v>3.5</v>
      </c>
      <c r="S136" s="40"/>
      <c r="T136" s="76"/>
      <c r="U136" s="75" t="s">
        <v>211</v>
      </c>
      <c r="V136" s="75"/>
      <c r="W136" s="55">
        <v>30063.119999999999</v>
      </c>
      <c r="X136" s="40"/>
    </row>
    <row r="137" spans="1:24">
      <c r="A137" s="76"/>
      <c r="B137" s="75" t="s">
        <v>208</v>
      </c>
      <c r="C137" s="75"/>
      <c r="D137" s="55">
        <v>-954</v>
      </c>
      <c r="E137" s="40"/>
      <c r="O137" s="75"/>
      <c r="P137" s="75" t="s">
        <v>212</v>
      </c>
      <c r="Q137" s="75"/>
      <c r="R137" s="65">
        <v>13.5</v>
      </c>
      <c r="S137" s="40"/>
      <c r="T137" s="75"/>
      <c r="U137" s="75" t="s">
        <v>212</v>
      </c>
      <c r="V137" s="75"/>
      <c r="W137" s="55">
        <v>44661</v>
      </c>
      <c r="X137" s="40"/>
    </row>
    <row r="138" spans="1:24">
      <c r="A138" s="76"/>
      <c r="B138" s="75" t="s">
        <v>209</v>
      </c>
      <c r="C138" s="75"/>
      <c r="D138" s="56" t="s">
        <v>228</v>
      </c>
      <c r="E138" s="40"/>
      <c r="O138" s="75" t="s">
        <v>216</v>
      </c>
      <c r="P138" s="75" t="s">
        <v>186</v>
      </c>
      <c r="Q138" s="58" t="s">
        <v>205</v>
      </c>
      <c r="R138" s="59">
        <v>8</v>
      </c>
      <c r="S138" s="40"/>
      <c r="T138" s="75" t="s">
        <v>216</v>
      </c>
      <c r="U138" s="75" t="s">
        <v>186</v>
      </c>
      <c r="V138" s="58" t="s">
        <v>205</v>
      </c>
      <c r="W138" s="59">
        <v>8</v>
      </c>
      <c r="X138" s="40"/>
    </row>
    <row r="139" spans="1:24">
      <c r="A139" s="76"/>
      <c r="B139" s="75" t="s">
        <v>210</v>
      </c>
      <c r="C139" s="75"/>
      <c r="D139" s="57">
        <v>557.2521870751159</v>
      </c>
      <c r="E139" s="40"/>
      <c r="O139" s="76"/>
      <c r="P139" s="75"/>
      <c r="Q139" s="53" t="s">
        <v>206</v>
      </c>
      <c r="R139" s="54">
        <v>0</v>
      </c>
      <c r="S139" s="40"/>
      <c r="T139" s="76"/>
      <c r="U139" s="75"/>
      <c r="V139" s="53" t="s">
        <v>206</v>
      </c>
      <c r="W139" s="54">
        <v>0</v>
      </c>
      <c r="X139" s="40"/>
    </row>
    <row r="140" spans="1:24" ht="75">
      <c r="A140" s="76"/>
      <c r="B140" s="75" t="s">
        <v>211</v>
      </c>
      <c r="C140" s="75"/>
      <c r="D140" s="54">
        <v>-2210</v>
      </c>
      <c r="E140" s="40"/>
      <c r="F140" s="61" t="s">
        <v>236</v>
      </c>
      <c r="G140" s="61" t="s">
        <v>235</v>
      </c>
      <c r="H140" s="61" t="s">
        <v>237</v>
      </c>
      <c r="I140" s="61" t="s">
        <v>238</v>
      </c>
      <c r="O140" s="76"/>
      <c r="P140" s="75" t="s">
        <v>207</v>
      </c>
      <c r="Q140" s="75"/>
      <c r="R140" s="57">
        <v>8.2750000000000004</v>
      </c>
      <c r="S140" s="40"/>
      <c r="T140" s="76"/>
      <c r="U140" s="75" t="s">
        <v>207</v>
      </c>
      <c r="V140" s="75"/>
      <c r="W140" s="64">
        <v>82617.813750000001</v>
      </c>
      <c r="X140" s="40"/>
    </row>
    <row r="141" spans="1:24">
      <c r="A141" s="75"/>
      <c r="B141" s="75" t="s">
        <v>212</v>
      </c>
      <c r="C141" s="75"/>
      <c r="D141" s="54">
        <v>-536</v>
      </c>
      <c r="E141" s="40"/>
      <c r="F141" s="62" t="s">
        <v>3</v>
      </c>
      <c r="G141" s="63">
        <v>-1690.25</v>
      </c>
      <c r="H141" s="63">
        <v>7.7125000000000004</v>
      </c>
      <c r="I141" s="63">
        <v>56340.032500000001</v>
      </c>
      <c r="O141" s="76"/>
      <c r="P141" s="75" t="s">
        <v>208</v>
      </c>
      <c r="Q141" s="75"/>
      <c r="R141" s="57">
        <v>8.4</v>
      </c>
      <c r="S141" s="40"/>
      <c r="T141" s="76"/>
      <c r="U141" s="75" t="s">
        <v>208</v>
      </c>
      <c r="V141" s="75"/>
      <c r="W141" s="64">
        <v>80615.464999999997</v>
      </c>
      <c r="X141" s="40"/>
    </row>
    <row r="142" spans="1:24">
      <c r="A142" s="75" t="s">
        <v>216</v>
      </c>
      <c r="B142" s="75" t="s">
        <v>186</v>
      </c>
      <c r="C142" s="58" t="s">
        <v>205</v>
      </c>
      <c r="D142" s="59">
        <v>8</v>
      </c>
      <c r="E142" s="40"/>
      <c r="F142" s="62" t="s">
        <v>4</v>
      </c>
      <c r="G142" s="50">
        <v>-2500</v>
      </c>
      <c r="H142" s="67">
        <v>10.862499999999999</v>
      </c>
      <c r="I142" s="67">
        <v>44836.118750000001</v>
      </c>
      <c r="O142" s="76"/>
      <c r="P142" s="75" t="s">
        <v>210</v>
      </c>
      <c r="Q142" s="75"/>
      <c r="R142" s="64">
        <v>1.2825755338380658</v>
      </c>
      <c r="S142" s="40"/>
      <c r="T142" s="76"/>
      <c r="U142" s="75" t="s">
        <v>210</v>
      </c>
      <c r="V142" s="75"/>
      <c r="W142" s="68">
        <v>8557.2736605732716</v>
      </c>
      <c r="X142" s="40"/>
    </row>
    <row r="143" spans="1:24">
      <c r="A143" s="76"/>
      <c r="B143" s="75"/>
      <c r="C143" s="53" t="s">
        <v>206</v>
      </c>
      <c r="D143" s="54">
        <v>0</v>
      </c>
      <c r="E143" s="40"/>
      <c r="F143" s="62" t="s">
        <v>5</v>
      </c>
      <c r="G143" s="50">
        <v>2233.5</v>
      </c>
      <c r="H143" s="67">
        <v>13.025000000000002</v>
      </c>
      <c r="I143" s="67">
        <v>156944.08500000002</v>
      </c>
      <c r="O143" s="76"/>
      <c r="P143" s="75" t="s">
        <v>211</v>
      </c>
      <c r="Q143" s="75"/>
      <c r="R143" s="65">
        <v>5.9</v>
      </c>
      <c r="S143" s="40"/>
      <c r="T143" s="76"/>
      <c r="U143" s="75" t="s">
        <v>211</v>
      </c>
      <c r="V143" s="75"/>
      <c r="W143" s="55">
        <v>73838.5</v>
      </c>
      <c r="X143" s="40"/>
    </row>
    <row r="144" spans="1:24">
      <c r="A144" s="76"/>
      <c r="B144" s="75" t="s">
        <v>207</v>
      </c>
      <c r="C144" s="75"/>
      <c r="D144" s="55">
        <v>-1434.25</v>
      </c>
      <c r="E144" s="40"/>
      <c r="F144" s="62" t="s">
        <v>6</v>
      </c>
      <c r="G144" s="50">
        <v>-1739.875</v>
      </c>
      <c r="H144" s="67">
        <v>8.9</v>
      </c>
      <c r="I144" s="67">
        <v>103402.15249999998</v>
      </c>
      <c r="O144" s="75"/>
      <c r="P144" s="75" t="s">
        <v>212</v>
      </c>
      <c r="Q144" s="75"/>
      <c r="R144" s="65">
        <v>9.6999999999999993</v>
      </c>
      <c r="S144" s="40"/>
      <c r="T144" s="75"/>
      <c r="U144" s="75" t="s">
        <v>212</v>
      </c>
      <c r="V144" s="75"/>
      <c r="W144" s="55">
        <v>99976</v>
      </c>
      <c r="X144" s="40"/>
    </row>
    <row r="145" spans="1:24">
      <c r="A145" s="76"/>
      <c r="B145" s="75" t="s">
        <v>208</v>
      </c>
      <c r="C145" s="75"/>
      <c r="D145" s="55">
        <v>-1131.5</v>
      </c>
      <c r="E145" s="40"/>
      <c r="F145" s="62" t="s">
        <v>7</v>
      </c>
      <c r="G145" s="50">
        <v>-1322.375</v>
      </c>
      <c r="H145" s="67">
        <v>9.5374999999999996</v>
      </c>
      <c r="I145" s="67">
        <v>168715.26625000002</v>
      </c>
      <c r="O145" s="75" t="s">
        <v>217</v>
      </c>
      <c r="P145" s="75" t="s">
        <v>186</v>
      </c>
      <c r="Q145" s="58" t="s">
        <v>205</v>
      </c>
      <c r="R145" s="59">
        <v>8</v>
      </c>
      <c r="S145" s="40"/>
      <c r="T145" s="75" t="s">
        <v>217</v>
      </c>
      <c r="U145" s="75" t="s">
        <v>186</v>
      </c>
      <c r="V145" s="58" t="s">
        <v>205</v>
      </c>
      <c r="W145" s="59">
        <v>8</v>
      </c>
      <c r="X145" s="40"/>
    </row>
    <row r="146" spans="1:24">
      <c r="A146" s="76"/>
      <c r="B146" s="75" t="s">
        <v>209</v>
      </c>
      <c r="C146" s="75"/>
      <c r="D146" s="56" t="s">
        <v>229</v>
      </c>
      <c r="E146" s="40"/>
      <c r="F146" s="62" t="s">
        <v>8</v>
      </c>
      <c r="G146" s="50">
        <v>-1111</v>
      </c>
      <c r="H146" s="67">
        <v>7.6624999999999996</v>
      </c>
      <c r="I146" s="67">
        <v>35072.858749999999</v>
      </c>
      <c r="O146" s="76"/>
      <c r="P146" s="75"/>
      <c r="Q146" s="53" t="s">
        <v>206</v>
      </c>
      <c r="R146" s="54">
        <v>0</v>
      </c>
      <c r="S146" s="40"/>
      <c r="T146" s="76"/>
      <c r="U146" s="75"/>
      <c r="V146" s="53" t="s">
        <v>206</v>
      </c>
      <c r="W146" s="54">
        <v>0</v>
      </c>
      <c r="X146" s="40"/>
    </row>
    <row r="147" spans="1:24">
      <c r="A147" s="76"/>
      <c r="B147" s="75" t="s">
        <v>210</v>
      </c>
      <c r="C147" s="75"/>
      <c r="D147" s="57">
        <v>746.11790527464791</v>
      </c>
      <c r="E147" s="40"/>
      <c r="F147" s="62" t="s">
        <v>9</v>
      </c>
      <c r="G147" s="50">
        <v>-1434.25</v>
      </c>
      <c r="H147" s="67">
        <v>8.2750000000000004</v>
      </c>
      <c r="I147" s="67">
        <v>82617.813750000001</v>
      </c>
      <c r="O147" s="76"/>
      <c r="P147" s="75" t="s">
        <v>207</v>
      </c>
      <c r="Q147" s="75"/>
      <c r="R147" s="57">
        <v>8.5375000000000014</v>
      </c>
      <c r="S147" s="40"/>
      <c r="T147" s="76"/>
      <c r="U147" s="75" t="s">
        <v>207</v>
      </c>
      <c r="V147" s="75"/>
      <c r="W147" s="64">
        <v>24137.116250000003</v>
      </c>
      <c r="X147" s="40"/>
    </row>
    <row r="148" spans="1:24">
      <c r="A148" s="76"/>
      <c r="B148" s="75" t="s">
        <v>211</v>
      </c>
      <c r="C148" s="75"/>
      <c r="D148" s="54">
        <v>-2809</v>
      </c>
      <c r="E148" s="40"/>
      <c r="F148" s="62" t="s">
        <v>10</v>
      </c>
      <c r="G148" s="50">
        <v>-1129.5</v>
      </c>
      <c r="H148" s="67">
        <v>8.5375000000000014</v>
      </c>
      <c r="I148" s="67">
        <v>24137.116250000003</v>
      </c>
      <c r="O148" s="76"/>
      <c r="P148" s="75" t="s">
        <v>208</v>
      </c>
      <c r="Q148" s="75"/>
      <c r="R148" s="57">
        <v>7.35</v>
      </c>
      <c r="S148" s="40"/>
      <c r="T148" s="76"/>
      <c r="U148" s="75" t="s">
        <v>208</v>
      </c>
      <c r="V148" s="75"/>
      <c r="W148" s="64">
        <v>23513.745000000003</v>
      </c>
      <c r="X148" s="40"/>
    </row>
    <row r="149" spans="1:24">
      <c r="A149" s="75"/>
      <c r="B149" s="75" t="s">
        <v>212</v>
      </c>
      <c r="C149" s="75"/>
      <c r="D149" s="54">
        <v>-743</v>
      </c>
      <c r="E149" s="40"/>
      <c r="F149" s="62" t="s">
        <v>11</v>
      </c>
      <c r="G149" s="50">
        <v>-544.875</v>
      </c>
      <c r="H149" s="67">
        <v>19.45</v>
      </c>
      <c r="I149" s="67">
        <v>48738.237500000003</v>
      </c>
      <c r="O149" s="76"/>
      <c r="P149" s="75" t="s">
        <v>210</v>
      </c>
      <c r="Q149" s="75"/>
      <c r="R149" s="64">
        <v>4.4705185062010102</v>
      </c>
      <c r="S149" s="40"/>
      <c r="T149" s="76"/>
      <c r="U149" s="75" t="s">
        <v>210</v>
      </c>
      <c r="V149" s="75"/>
      <c r="W149" s="68">
        <v>2755.5764263291758</v>
      </c>
      <c r="X149" s="40"/>
    </row>
    <row r="150" spans="1:24">
      <c r="A150" s="75" t="s">
        <v>217</v>
      </c>
      <c r="B150" s="75" t="s">
        <v>186</v>
      </c>
      <c r="C150" s="58" t="s">
        <v>205</v>
      </c>
      <c r="D150" s="59">
        <v>8</v>
      </c>
      <c r="E150" s="40"/>
      <c r="F150" s="62" t="s">
        <v>12</v>
      </c>
      <c r="G150" s="50">
        <v>-735.625</v>
      </c>
      <c r="H150" s="67">
        <v>11.15</v>
      </c>
      <c r="I150" s="67">
        <v>79463.112500000003</v>
      </c>
      <c r="O150" s="76"/>
      <c r="P150" s="75" t="s">
        <v>211</v>
      </c>
      <c r="Q150" s="75"/>
      <c r="R150" s="65">
        <v>4</v>
      </c>
      <c r="S150" s="40"/>
      <c r="T150" s="76"/>
      <c r="U150" s="75" t="s">
        <v>211</v>
      </c>
      <c r="V150" s="75"/>
      <c r="W150" s="55">
        <v>20718.259999999998</v>
      </c>
      <c r="X150" s="40"/>
    </row>
    <row r="151" spans="1:24">
      <c r="A151" s="76"/>
      <c r="B151" s="75"/>
      <c r="C151" s="53" t="s">
        <v>206</v>
      </c>
      <c r="D151" s="54">
        <v>0</v>
      </c>
      <c r="E151" s="40"/>
      <c r="F151" s="62" t="s">
        <v>13</v>
      </c>
      <c r="G151" s="50">
        <v>9926.25</v>
      </c>
      <c r="H151" s="67">
        <v>14.475000000000001</v>
      </c>
      <c r="I151" s="67">
        <v>673492.49124999996</v>
      </c>
      <c r="O151" s="75"/>
      <c r="P151" s="75" t="s">
        <v>212</v>
      </c>
      <c r="Q151" s="75"/>
      <c r="R151" s="65">
        <v>16.899999999999999</v>
      </c>
      <c r="S151" s="40"/>
      <c r="T151" s="75"/>
      <c r="U151" s="75" t="s">
        <v>212</v>
      </c>
      <c r="V151" s="75"/>
      <c r="W151" s="55">
        <v>29562</v>
      </c>
      <c r="X151" s="40"/>
    </row>
    <row r="152" spans="1:24">
      <c r="A152" s="76"/>
      <c r="B152" s="75" t="s">
        <v>207</v>
      </c>
      <c r="C152" s="75"/>
      <c r="D152" s="55">
        <v>-1129.5</v>
      </c>
      <c r="E152" s="40"/>
      <c r="F152" s="62" t="s">
        <v>14</v>
      </c>
      <c r="G152" s="50">
        <v>-13</v>
      </c>
      <c r="H152" s="67">
        <v>17.925000000000001</v>
      </c>
      <c r="I152" s="67">
        <v>91040.962500000009</v>
      </c>
      <c r="O152" s="75" t="s">
        <v>218</v>
      </c>
      <c r="P152" s="75" t="s">
        <v>186</v>
      </c>
      <c r="Q152" s="58" t="s">
        <v>205</v>
      </c>
      <c r="R152" s="59">
        <v>8</v>
      </c>
      <c r="S152" s="40"/>
      <c r="T152" s="75" t="s">
        <v>218</v>
      </c>
      <c r="U152" s="75" t="s">
        <v>186</v>
      </c>
      <c r="V152" s="58" t="s">
        <v>205</v>
      </c>
      <c r="W152" s="59">
        <v>8</v>
      </c>
      <c r="X152" s="40"/>
    </row>
    <row r="153" spans="1:24">
      <c r="A153" s="76"/>
      <c r="B153" s="75" t="s">
        <v>208</v>
      </c>
      <c r="C153" s="75"/>
      <c r="D153" s="55">
        <v>-951</v>
      </c>
      <c r="E153" s="40"/>
      <c r="O153" s="76"/>
      <c r="P153" s="75"/>
      <c r="Q153" s="53" t="s">
        <v>206</v>
      </c>
      <c r="R153" s="54">
        <v>0</v>
      </c>
      <c r="S153" s="40"/>
      <c r="T153" s="76"/>
      <c r="U153" s="75"/>
      <c r="V153" s="53" t="s">
        <v>206</v>
      </c>
      <c r="W153" s="54">
        <v>0</v>
      </c>
      <c r="X153" s="40"/>
    </row>
    <row r="154" spans="1:24">
      <c r="A154" s="76"/>
      <c r="B154" s="75" t="s">
        <v>209</v>
      </c>
      <c r="C154" s="75"/>
      <c r="D154" s="56" t="s">
        <v>230</v>
      </c>
      <c r="E154" s="40"/>
      <c r="O154" s="76"/>
      <c r="P154" s="75" t="s">
        <v>207</v>
      </c>
      <c r="Q154" s="75"/>
      <c r="R154" s="57">
        <v>19.45</v>
      </c>
      <c r="S154" s="40"/>
      <c r="T154" s="76"/>
      <c r="U154" s="75" t="s">
        <v>207</v>
      </c>
      <c r="V154" s="75"/>
      <c r="W154" s="64">
        <v>48738.237500000003</v>
      </c>
      <c r="X154" s="40"/>
    </row>
    <row r="155" spans="1:24">
      <c r="A155" s="76"/>
      <c r="B155" s="75" t="s">
        <v>210</v>
      </c>
      <c r="C155" s="75"/>
      <c r="D155" s="57">
        <v>547.52586370743381</v>
      </c>
      <c r="E155" s="40"/>
      <c r="O155" s="76"/>
      <c r="P155" s="75" t="s">
        <v>208</v>
      </c>
      <c r="Q155" s="75"/>
      <c r="R155" s="57">
        <v>19.399999999999999</v>
      </c>
      <c r="S155" s="40"/>
      <c r="T155" s="76"/>
      <c r="U155" s="75" t="s">
        <v>208</v>
      </c>
      <c r="V155" s="75"/>
      <c r="W155" s="64">
        <v>46676.72</v>
      </c>
      <c r="X155" s="40"/>
    </row>
    <row r="156" spans="1:24">
      <c r="A156" s="76"/>
      <c r="B156" s="75" t="s">
        <v>211</v>
      </c>
      <c r="C156" s="75"/>
      <c r="D156" s="54">
        <v>-2021</v>
      </c>
      <c r="E156" s="40"/>
      <c r="O156" s="76"/>
      <c r="P156" s="75" t="s">
        <v>210</v>
      </c>
      <c r="Q156" s="75"/>
      <c r="R156" s="64">
        <v>2.9061511119888941</v>
      </c>
      <c r="S156" s="40"/>
      <c r="T156" s="76"/>
      <c r="U156" s="75" t="s">
        <v>210</v>
      </c>
      <c r="V156" s="75"/>
      <c r="W156" s="68">
        <v>6136.0130663339878</v>
      </c>
      <c r="X156" s="40"/>
    </row>
    <row r="157" spans="1:24">
      <c r="A157" s="75"/>
      <c r="B157" s="75" t="s">
        <v>212</v>
      </c>
      <c r="C157" s="75"/>
      <c r="D157" s="54">
        <v>-614</v>
      </c>
      <c r="E157" s="40"/>
      <c r="O157" s="76"/>
      <c r="P157" s="75" t="s">
        <v>211</v>
      </c>
      <c r="Q157" s="75"/>
      <c r="R157" s="65">
        <v>15</v>
      </c>
      <c r="S157" s="40"/>
      <c r="T157" s="76"/>
      <c r="U157" s="75" t="s">
        <v>211</v>
      </c>
      <c r="V157" s="75"/>
      <c r="W157" s="55">
        <v>43670.15</v>
      </c>
      <c r="X157" s="40"/>
    </row>
    <row r="158" spans="1:24">
      <c r="A158" s="75" t="s">
        <v>218</v>
      </c>
      <c r="B158" s="75" t="s">
        <v>186</v>
      </c>
      <c r="C158" s="58" t="s">
        <v>205</v>
      </c>
      <c r="D158" s="59">
        <v>8</v>
      </c>
      <c r="E158" s="40"/>
      <c r="O158" s="75"/>
      <c r="P158" s="75" t="s">
        <v>212</v>
      </c>
      <c r="Q158" s="75"/>
      <c r="R158" s="65">
        <v>22.7</v>
      </c>
      <c r="S158" s="40"/>
      <c r="T158" s="75"/>
      <c r="U158" s="75" t="s">
        <v>212</v>
      </c>
      <c r="V158" s="75"/>
      <c r="W158" s="55">
        <v>61033</v>
      </c>
      <c r="X158" s="40"/>
    </row>
    <row r="159" spans="1:24">
      <c r="A159" s="76"/>
      <c r="B159" s="75"/>
      <c r="C159" s="53" t="s">
        <v>206</v>
      </c>
      <c r="D159" s="54">
        <v>0</v>
      </c>
      <c r="E159" s="40"/>
      <c r="O159" s="75" t="s">
        <v>219</v>
      </c>
      <c r="P159" s="75" t="s">
        <v>186</v>
      </c>
      <c r="Q159" s="58" t="s">
        <v>205</v>
      </c>
      <c r="R159" s="59">
        <v>8</v>
      </c>
      <c r="S159" s="40"/>
      <c r="T159" s="75" t="s">
        <v>219</v>
      </c>
      <c r="U159" s="75" t="s">
        <v>186</v>
      </c>
      <c r="V159" s="58" t="s">
        <v>205</v>
      </c>
      <c r="W159" s="59">
        <v>8</v>
      </c>
      <c r="X159" s="40"/>
    </row>
    <row r="160" spans="1:24">
      <c r="A160" s="76"/>
      <c r="B160" s="75" t="s">
        <v>207</v>
      </c>
      <c r="C160" s="75"/>
      <c r="D160" s="55">
        <v>-544.875</v>
      </c>
      <c r="E160" s="40"/>
      <c r="O160" s="76"/>
      <c r="P160" s="75"/>
      <c r="Q160" s="53" t="s">
        <v>206</v>
      </c>
      <c r="R160" s="54">
        <v>0</v>
      </c>
      <c r="S160" s="40"/>
      <c r="T160" s="76"/>
      <c r="U160" s="75"/>
      <c r="V160" s="53" t="s">
        <v>206</v>
      </c>
      <c r="W160" s="54">
        <v>0</v>
      </c>
      <c r="X160" s="40"/>
    </row>
    <row r="161" spans="1:24">
      <c r="A161" s="76"/>
      <c r="B161" s="75" t="s">
        <v>208</v>
      </c>
      <c r="C161" s="75"/>
      <c r="D161" s="55">
        <v>-558</v>
      </c>
      <c r="E161" s="40"/>
      <c r="O161" s="76"/>
      <c r="P161" s="75" t="s">
        <v>207</v>
      </c>
      <c r="Q161" s="75"/>
      <c r="R161" s="57">
        <v>11.15</v>
      </c>
      <c r="S161" s="40"/>
      <c r="T161" s="76"/>
      <c r="U161" s="75" t="s">
        <v>207</v>
      </c>
      <c r="V161" s="75"/>
      <c r="W161" s="64">
        <v>79463.112500000003</v>
      </c>
      <c r="X161" s="40"/>
    </row>
    <row r="162" spans="1:24">
      <c r="A162" s="76"/>
      <c r="B162" s="75" t="s">
        <v>209</v>
      </c>
      <c r="C162" s="75"/>
      <c r="D162" s="56" t="s">
        <v>231</v>
      </c>
      <c r="E162" s="40"/>
      <c r="O162" s="76"/>
      <c r="P162" s="75" t="s">
        <v>208</v>
      </c>
      <c r="Q162" s="75"/>
      <c r="R162" s="57">
        <v>12</v>
      </c>
      <c r="S162" s="40"/>
      <c r="T162" s="76"/>
      <c r="U162" s="75" t="s">
        <v>208</v>
      </c>
      <c r="V162" s="75"/>
      <c r="W162" s="64">
        <v>73247.904999999999</v>
      </c>
      <c r="X162" s="40"/>
    </row>
    <row r="163" spans="1:24">
      <c r="A163" s="76"/>
      <c r="B163" s="75" t="s">
        <v>210</v>
      </c>
      <c r="C163" s="75"/>
      <c r="D163" s="57">
        <v>201.17045899293606</v>
      </c>
      <c r="E163" s="40"/>
      <c r="O163" s="76"/>
      <c r="P163" s="75" t="s">
        <v>210</v>
      </c>
      <c r="Q163" s="75"/>
      <c r="R163" s="64">
        <v>2.5612496949731396</v>
      </c>
      <c r="S163" s="40"/>
      <c r="T163" s="76"/>
      <c r="U163" s="75" t="s">
        <v>210</v>
      </c>
      <c r="V163" s="75"/>
      <c r="W163" s="68">
        <v>13030.769875604599</v>
      </c>
      <c r="X163" s="40"/>
    </row>
    <row r="164" spans="1:24">
      <c r="A164" s="76"/>
      <c r="B164" s="75" t="s">
        <v>211</v>
      </c>
      <c r="C164" s="75"/>
      <c r="D164" s="54">
        <v>-934</v>
      </c>
      <c r="E164" s="40"/>
      <c r="O164" s="76"/>
      <c r="P164" s="75" t="s">
        <v>211</v>
      </c>
      <c r="Q164" s="75"/>
      <c r="R164" s="65">
        <v>6.3</v>
      </c>
      <c r="S164" s="40"/>
      <c r="T164" s="76"/>
      <c r="U164" s="75" t="s">
        <v>211</v>
      </c>
      <c r="V164" s="75"/>
      <c r="W164" s="55">
        <v>69727.990000000005</v>
      </c>
      <c r="X164" s="40"/>
    </row>
    <row r="165" spans="1:24">
      <c r="A165" s="75"/>
      <c r="B165" s="75" t="s">
        <v>212</v>
      </c>
      <c r="C165" s="75"/>
      <c r="D165" s="54">
        <v>-288</v>
      </c>
      <c r="E165" s="40"/>
      <c r="O165" s="75"/>
      <c r="P165" s="75" t="s">
        <v>212</v>
      </c>
      <c r="Q165" s="75"/>
      <c r="R165" s="65">
        <v>14.5</v>
      </c>
      <c r="S165" s="40"/>
      <c r="T165" s="75"/>
      <c r="U165" s="75" t="s">
        <v>212</v>
      </c>
      <c r="V165" s="75"/>
      <c r="W165" s="55">
        <v>103758</v>
      </c>
      <c r="X165" s="40"/>
    </row>
    <row r="166" spans="1:24">
      <c r="A166" s="75" t="s">
        <v>219</v>
      </c>
      <c r="B166" s="75" t="s">
        <v>186</v>
      </c>
      <c r="C166" s="58" t="s">
        <v>205</v>
      </c>
      <c r="D166" s="59">
        <v>8</v>
      </c>
      <c r="E166" s="40"/>
      <c r="O166" s="75" t="s">
        <v>220</v>
      </c>
      <c r="P166" s="75" t="s">
        <v>186</v>
      </c>
      <c r="Q166" s="58" t="s">
        <v>205</v>
      </c>
      <c r="R166" s="59">
        <v>8</v>
      </c>
      <c r="S166" s="40"/>
      <c r="T166" s="75" t="s">
        <v>220</v>
      </c>
      <c r="U166" s="75" t="s">
        <v>186</v>
      </c>
      <c r="V166" s="58" t="s">
        <v>205</v>
      </c>
      <c r="W166" s="59">
        <v>8</v>
      </c>
      <c r="X166" s="40"/>
    </row>
    <row r="167" spans="1:24">
      <c r="A167" s="76"/>
      <c r="B167" s="75"/>
      <c r="C167" s="53" t="s">
        <v>206</v>
      </c>
      <c r="D167" s="54">
        <v>0</v>
      </c>
      <c r="E167" s="40"/>
      <c r="O167" s="76"/>
      <c r="P167" s="75"/>
      <c r="Q167" s="53" t="s">
        <v>206</v>
      </c>
      <c r="R167" s="54">
        <v>0</v>
      </c>
      <c r="S167" s="40"/>
      <c r="T167" s="76"/>
      <c r="U167" s="75"/>
      <c r="V167" s="53" t="s">
        <v>206</v>
      </c>
      <c r="W167" s="54">
        <v>0</v>
      </c>
      <c r="X167" s="40"/>
    </row>
    <row r="168" spans="1:24">
      <c r="A168" s="76"/>
      <c r="B168" s="75" t="s">
        <v>207</v>
      </c>
      <c r="C168" s="75"/>
      <c r="D168" s="55">
        <v>-735.625</v>
      </c>
      <c r="E168" s="40"/>
      <c r="O168" s="76"/>
      <c r="P168" s="75" t="s">
        <v>207</v>
      </c>
      <c r="Q168" s="75"/>
      <c r="R168" s="57">
        <v>14.475000000000001</v>
      </c>
      <c r="S168" s="40"/>
      <c r="T168" s="76"/>
      <c r="U168" s="75" t="s">
        <v>207</v>
      </c>
      <c r="V168" s="75"/>
      <c r="W168" s="64">
        <v>673492.49124999996</v>
      </c>
      <c r="X168" s="40"/>
    </row>
    <row r="169" spans="1:24">
      <c r="A169" s="76"/>
      <c r="B169" s="75" t="s">
        <v>208</v>
      </c>
      <c r="C169" s="75"/>
      <c r="D169" s="55">
        <v>-610</v>
      </c>
      <c r="E169" s="40"/>
      <c r="O169" s="76"/>
      <c r="P169" s="75" t="s">
        <v>208</v>
      </c>
      <c r="Q169" s="75"/>
      <c r="R169" s="57">
        <v>14.35</v>
      </c>
      <c r="S169" s="40"/>
      <c r="T169" s="76"/>
      <c r="U169" s="75" t="s">
        <v>208</v>
      </c>
      <c r="V169" s="75"/>
      <c r="W169" s="64">
        <v>641014.34499999997</v>
      </c>
      <c r="X169" s="40"/>
    </row>
    <row r="170" spans="1:24">
      <c r="A170" s="76"/>
      <c r="B170" s="75" t="s">
        <v>209</v>
      </c>
      <c r="C170" s="75"/>
      <c r="D170" s="56" t="s">
        <v>232</v>
      </c>
      <c r="E170" s="40"/>
      <c r="O170" s="76"/>
      <c r="P170" s="75" t="s">
        <v>210</v>
      </c>
      <c r="Q170" s="75"/>
      <c r="R170" s="64">
        <v>2.9769351449339396</v>
      </c>
      <c r="S170" s="40"/>
      <c r="T170" s="76"/>
      <c r="U170" s="75" t="s">
        <v>210</v>
      </c>
      <c r="V170" s="75"/>
      <c r="W170" s="68">
        <v>128432.64044871331</v>
      </c>
      <c r="X170" s="40"/>
    </row>
    <row r="171" spans="1:24">
      <c r="A171" s="76"/>
      <c r="B171" s="75" t="s">
        <v>210</v>
      </c>
      <c r="C171" s="75"/>
      <c r="D171" s="57">
        <v>329.47227826155137</v>
      </c>
      <c r="E171" s="40"/>
      <c r="O171" s="76"/>
      <c r="P171" s="75" t="s">
        <v>211</v>
      </c>
      <c r="Q171" s="75"/>
      <c r="R171" s="65">
        <v>10.7</v>
      </c>
      <c r="S171" s="40"/>
      <c r="T171" s="76"/>
      <c r="U171" s="75" t="s">
        <v>211</v>
      </c>
      <c r="V171" s="75"/>
      <c r="W171" s="55">
        <v>515440.69</v>
      </c>
      <c r="X171" s="40"/>
    </row>
    <row r="172" spans="1:24">
      <c r="A172" s="76"/>
      <c r="B172" s="75" t="s">
        <v>211</v>
      </c>
      <c r="C172" s="75"/>
      <c r="D172" s="54">
        <v>-1288</v>
      </c>
      <c r="E172" s="40"/>
      <c r="O172" s="75"/>
      <c r="P172" s="75" t="s">
        <v>212</v>
      </c>
      <c r="Q172" s="75"/>
      <c r="R172" s="65">
        <v>19.7</v>
      </c>
      <c r="S172" s="40"/>
      <c r="T172" s="75"/>
      <c r="U172" s="75" t="s">
        <v>212</v>
      </c>
      <c r="V172" s="75"/>
      <c r="W172" s="55">
        <v>903156</v>
      </c>
      <c r="X172" s="40"/>
    </row>
    <row r="173" spans="1:24">
      <c r="A173" s="75"/>
      <c r="B173" s="75" t="s">
        <v>212</v>
      </c>
      <c r="C173" s="75"/>
      <c r="D173" s="54">
        <v>-425</v>
      </c>
      <c r="E173" s="40"/>
      <c r="O173" s="75" t="s">
        <v>221</v>
      </c>
      <c r="P173" s="75" t="s">
        <v>186</v>
      </c>
      <c r="Q173" s="58" t="s">
        <v>205</v>
      </c>
      <c r="R173" s="59">
        <v>8</v>
      </c>
      <c r="S173" s="40"/>
      <c r="T173" s="75" t="s">
        <v>221</v>
      </c>
      <c r="U173" s="75" t="s">
        <v>186</v>
      </c>
      <c r="V173" s="58" t="s">
        <v>205</v>
      </c>
      <c r="W173" s="59">
        <v>8</v>
      </c>
      <c r="X173" s="40"/>
    </row>
    <row r="174" spans="1:24">
      <c r="A174" s="75" t="s">
        <v>220</v>
      </c>
      <c r="B174" s="75" t="s">
        <v>186</v>
      </c>
      <c r="C174" s="58" t="s">
        <v>205</v>
      </c>
      <c r="D174" s="59">
        <v>8</v>
      </c>
      <c r="E174" s="40"/>
      <c r="O174" s="76"/>
      <c r="P174" s="75"/>
      <c r="Q174" s="53" t="s">
        <v>206</v>
      </c>
      <c r="R174" s="54">
        <v>0</v>
      </c>
      <c r="S174" s="40"/>
      <c r="T174" s="76"/>
      <c r="U174" s="75"/>
      <c r="V174" s="53" t="s">
        <v>206</v>
      </c>
      <c r="W174" s="54">
        <v>0</v>
      </c>
      <c r="X174" s="40"/>
    </row>
    <row r="175" spans="1:24">
      <c r="A175" s="76"/>
      <c r="B175" s="75"/>
      <c r="C175" s="53" t="s">
        <v>206</v>
      </c>
      <c r="D175" s="54">
        <v>0</v>
      </c>
      <c r="E175" s="40"/>
      <c r="O175" s="76"/>
      <c r="P175" s="75" t="s">
        <v>207</v>
      </c>
      <c r="Q175" s="75"/>
      <c r="R175" s="57">
        <v>17.925000000000001</v>
      </c>
      <c r="S175" s="40"/>
      <c r="T175" s="76"/>
      <c r="U175" s="75" t="s">
        <v>207</v>
      </c>
      <c r="V175" s="75"/>
      <c r="W175" s="64">
        <v>91040.962500000009</v>
      </c>
      <c r="X175" s="40"/>
    </row>
    <row r="176" spans="1:24">
      <c r="A176" s="76"/>
      <c r="B176" s="75" t="s">
        <v>207</v>
      </c>
      <c r="C176" s="75"/>
      <c r="D176" s="55">
        <v>9926.25</v>
      </c>
      <c r="E176" s="40"/>
      <c r="O176" s="76"/>
      <c r="P176" s="75" t="s">
        <v>208</v>
      </c>
      <c r="Q176" s="75"/>
      <c r="R176" s="57">
        <v>18.05</v>
      </c>
      <c r="S176" s="40"/>
      <c r="T176" s="76"/>
      <c r="U176" s="75" t="s">
        <v>208</v>
      </c>
      <c r="V176" s="75"/>
      <c r="W176" s="64">
        <v>84071.075000000012</v>
      </c>
      <c r="X176" s="40"/>
    </row>
    <row r="177" spans="1:24">
      <c r="A177" s="76"/>
      <c r="B177" s="75" t="s">
        <v>208</v>
      </c>
      <c r="C177" s="75"/>
      <c r="D177" s="55">
        <v>8411</v>
      </c>
      <c r="E177" s="40"/>
      <c r="O177" s="76"/>
      <c r="P177" s="75" t="s">
        <v>210</v>
      </c>
      <c r="Q177" s="75"/>
      <c r="R177" s="64">
        <v>5.9892165001537787</v>
      </c>
      <c r="S177" s="40"/>
      <c r="T177" s="76"/>
      <c r="U177" s="75" t="s">
        <v>210</v>
      </c>
      <c r="V177" s="75"/>
      <c r="W177" s="68">
        <v>17660.451270843037</v>
      </c>
      <c r="X177" s="40"/>
    </row>
    <row r="178" spans="1:24">
      <c r="A178" s="76"/>
      <c r="B178" s="75" t="s">
        <v>209</v>
      </c>
      <c r="C178" s="75"/>
      <c r="D178" s="56" t="s">
        <v>233</v>
      </c>
      <c r="E178" s="40"/>
      <c r="O178" s="76"/>
      <c r="P178" s="75" t="s">
        <v>211</v>
      </c>
      <c r="Q178" s="75"/>
      <c r="R178" s="65">
        <v>6.3</v>
      </c>
      <c r="S178" s="40"/>
      <c r="T178" s="76"/>
      <c r="U178" s="75" t="s">
        <v>211</v>
      </c>
      <c r="V178" s="75"/>
      <c r="W178" s="55">
        <v>75709.09</v>
      </c>
      <c r="X178" s="40"/>
    </row>
    <row r="179" spans="1:24">
      <c r="A179" s="76"/>
      <c r="B179" s="75" t="s">
        <v>210</v>
      </c>
      <c r="C179" s="75"/>
      <c r="D179" s="57">
        <v>3850.077392543094</v>
      </c>
      <c r="E179" s="40"/>
      <c r="O179" s="77"/>
      <c r="P179" s="77" t="s">
        <v>212</v>
      </c>
      <c r="Q179" s="77"/>
      <c r="R179" s="66">
        <v>24.7</v>
      </c>
      <c r="S179" s="40"/>
      <c r="T179" s="77"/>
      <c r="U179" s="77" t="s">
        <v>212</v>
      </c>
      <c r="V179" s="77"/>
      <c r="W179" s="69">
        <v>124976.88</v>
      </c>
      <c r="X179" s="40"/>
    </row>
    <row r="180" spans="1:24">
      <c r="A180" s="76"/>
      <c r="B180" s="75" t="s">
        <v>211</v>
      </c>
      <c r="C180" s="75"/>
      <c r="D180" s="54">
        <v>6112</v>
      </c>
      <c r="E180" s="40"/>
    </row>
    <row r="181" spans="1:24">
      <c r="A181" s="75"/>
      <c r="B181" s="75" t="s">
        <v>212</v>
      </c>
      <c r="C181" s="75"/>
      <c r="D181" s="54">
        <v>16844</v>
      </c>
      <c r="E181" s="40"/>
    </row>
    <row r="182" spans="1:24">
      <c r="A182" s="75" t="s">
        <v>221</v>
      </c>
      <c r="B182" s="75" t="s">
        <v>186</v>
      </c>
      <c r="C182" s="58" t="s">
        <v>205</v>
      </c>
      <c r="D182" s="59">
        <v>8</v>
      </c>
      <c r="E182" s="40"/>
    </row>
    <row r="183" spans="1:24">
      <c r="A183" s="76"/>
      <c r="B183" s="75"/>
      <c r="C183" s="53" t="s">
        <v>206</v>
      </c>
      <c r="D183" s="54">
        <v>0</v>
      </c>
      <c r="E183" s="40"/>
    </row>
    <row r="184" spans="1:24">
      <c r="A184" s="76"/>
      <c r="B184" s="75" t="s">
        <v>207</v>
      </c>
      <c r="C184" s="75"/>
      <c r="D184" s="55">
        <v>-13</v>
      </c>
      <c r="E184" s="40"/>
    </row>
    <row r="185" spans="1:24">
      <c r="A185" s="76"/>
      <c r="B185" s="75" t="s">
        <v>208</v>
      </c>
      <c r="C185" s="75"/>
      <c r="D185" s="55">
        <v>-55</v>
      </c>
      <c r="E185" s="40"/>
    </row>
    <row r="186" spans="1:24">
      <c r="A186" s="76"/>
      <c r="B186" s="75" t="s">
        <v>209</v>
      </c>
      <c r="C186" s="75"/>
      <c r="D186" s="56" t="s">
        <v>234</v>
      </c>
      <c r="E186" s="40"/>
    </row>
    <row r="187" spans="1:24">
      <c r="A187" s="76"/>
      <c r="B187" s="75" t="s">
        <v>210</v>
      </c>
      <c r="C187" s="75"/>
      <c r="D187" s="57">
        <v>158.1951778206728</v>
      </c>
      <c r="E187" s="40"/>
    </row>
    <row r="188" spans="1:24">
      <c r="A188" s="76"/>
      <c r="B188" s="75" t="s">
        <v>211</v>
      </c>
      <c r="C188" s="75"/>
      <c r="D188" s="54">
        <v>-191</v>
      </c>
      <c r="E188" s="40"/>
    </row>
    <row r="189" spans="1:24">
      <c r="A189" s="77"/>
      <c r="B189" s="77" t="s">
        <v>212</v>
      </c>
      <c r="C189" s="77"/>
      <c r="D189" s="60">
        <v>239</v>
      </c>
      <c r="E189" s="40"/>
    </row>
    <row r="190" spans="1:24">
      <c r="A190" s="82" t="s">
        <v>222</v>
      </c>
      <c r="B190" s="82"/>
      <c r="C190" s="82"/>
      <c r="D190" s="82"/>
      <c r="E190" s="40"/>
    </row>
  </sheetData>
  <mergeCells count="304">
    <mergeCell ref="B3:F3"/>
    <mergeCell ref="B6:F6"/>
    <mergeCell ref="B9:H9"/>
    <mergeCell ref="B10:C10"/>
    <mergeCell ref="B11:B13"/>
    <mergeCell ref="B14:H14"/>
    <mergeCell ref="B21:B23"/>
    <mergeCell ref="B24:H24"/>
    <mergeCell ref="B43:F43"/>
    <mergeCell ref="B44:C44"/>
    <mergeCell ref="B45:B47"/>
    <mergeCell ref="B48:B50"/>
    <mergeCell ref="B15:H15"/>
    <mergeCell ref="B18:H18"/>
    <mergeCell ref="B19:C20"/>
    <mergeCell ref="D19:E19"/>
    <mergeCell ref="G19:G20"/>
    <mergeCell ref="H19:H20"/>
    <mergeCell ref="B66:B68"/>
    <mergeCell ref="B69:B71"/>
    <mergeCell ref="B72:B74"/>
    <mergeCell ref="B75:H75"/>
    <mergeCell ref="B78:H78"/>
    <mergeCell ref="B51:B53"/>
    <mergeCell ref="B54:F54"/>
    <mergeCell ref="B58:H58"/>
    <mergeCell ref="B59:C59"/>
    <mergeCell ref="B60:B62"/>
    <mergeCell ref="B63:B65"/>
    <mergeCell ref="A94:A101"/>
    <mergeCell ref="B94:B95"/>
    <mergeCell ref="B96:C96"/>
    <mergeCell ref="B97:C97"/>
    <mergeCell ref="B98:C98"/>
    <mergeCell ref="B99:C99"/>
    <mergeCell ref="B100:C100"/>
    <mergeCell ref="B101:C101"/>
    <mergeCell ref="B79:C79"/>
    <mergeCell ref="B80:B82"/>
    <mergeCell ref="B83:B85"/>
    <mergeCell ref="B86:B88"/>
    <mergeCell ref="A92:D92"/>
    <mergeCell ref="A93:D93"/>
    <mergeCell ref="A110:A117"/>
    <mergeCell ref="B110:B111"/>
    <mergeCell ref="B112:C112"/>
    <mergeCell ref="B113:C113"/>
    <mergeCell ref="B114:C114"/>
    <mergeCell ref="B115:C115"/>
    <mergeCell ref="B116:C116"/>
    <mergeCell ref="B117:C117"/>
    <mergeCell ref="A102:A109"/>
    <mergeCell ref="B102:B103"/>
    <mergeCell ref="B104:C104"/>
    <mergeCell ref="B105:C105"/>
    <mergeCell ref="B106:C106"/>
    <mergeCell ref="B107:C107"/>
    <mergeCell ref="B108:C108"/>
    <mergeCell ref="B109:C109"/>
    <mergeCell ref="A126:A133"/>
    <mergeCell ref="B126:B127"/>
    <mergeCell ref="B128:C128"/>
    <mergeCell ref="B129:C129"/>
    <mergeCell ref="B130:C130"/>
    <mergeCell ref="B131:C131"/>
    <mergeCell ref="B132:C132"/>
    <mergeCell ref="B133:C133"/>
    <mergeCell ref="A118:A125"/>
    <mergeCell ref="B118:B119"/>
    <mergeCell ref="B120:C120"/>
    <mergeCell ref="B121:C121"/>
    <mergeCell ref="B122:C122"/>
    <mergeCell ref="B123:C123"/>
    <mergeCell ref="B124:C124"/>
    <mergeCell ref="B125:C125"/>
    <mergeCell ref="A142:A149"/>
    <mergeCell ref="B142:B143"/>
    <mergeCell ref="B144:C144"/>
    <mergeCell ref="B145:C145"/>
    <mergeCell ref="B146:C146"/>
    <mergeCell ref="B147:C147"/>
    <mergeCell ref="B148:C148"/>
    <mergeCell ref="B149:C149"/>
    <mergeCell ref="A134:A141"/>
    <mergeCell ref="B134:B135"/>
    <mergeCell ref="B136:C136"/>
    <mergeCell ref="B137:C137"/>
    <mergeCell ref="B138:C138"/>
    <mergeCell ref="B139:C139"/>
    <mergeCell ref="B140:C140"/>
    <mergeCell ref="B141:C141"/>
    <mergeCell ref="B165:C165"/>
    <mergeCell ref="A150:A157"/>
    <mergeCell ref="B150:B151"/>
    <mergeCell ref="B152:C152"/>
    <mergeCell ref="B153:C153"/>
    <mergeCell ref="B154:C154"/>
    <mergeCell ref="B155:C155"/>
    <mergeCell ref="B156:C156"/>
    <mergeCell ref="B157:C157"/>
    <mergeCell ref="O94:R94"/>
    <mergeCell ref="O95:R95"/>
    <mergeCell ref="O96:O102"/>
    <mergeCell ref="P96:P97"/>
    <mergeCell ref="P98:Q98"/>
    <mergeCell ref="P99:Q99"/>
    <mergeCell ref="P100:Q100"/>
    <mergeCell ref="P101:Q101"/>
    <mergeCell ref="A182:A189"/>
    <mergeCell ref="B182:B183"/>
    <mergeCell ref="B184:C184"/>
    <mergeCell ref="B185:C185"/>
    <mergeCell ref="B186:C186"/>
    <mergeCell ref="B187:C187"/>
    <mergeCell ref="B188:C188"/>
    <mergeCell ref="B189:C189"/>
    <mergeCell ref="A174:A181"/>
    <mergeCell ref="B174:B175"/>
    <mergeCell ref="B176:C176"/>
    <mergeCell ref="B177:C177"/>
    <mergeCell ref="B178:C178"/>
    <mergeCell ref="B179:C179"/>
    <mergeCell ref="B180:C180"/>
    <mergeCell ref="B181:C181"/>
    <mergeCell ref="P102:Q102"/>
    <mergeCell ref="O103:O109"/>
    <mergeCell ref="P103:P104"/>
    <mergeCell ref="P105:Q105"/>
    <mergeCell ref="P106:Q106"/>
    <mergeCell ref="P107:Q107"/>
    <mergeCell ref="P108:Q108"/>
    <mergeCell ref="P109:Q109"/>
    <mergeCell ref="A190:D190"/>
    <mergeCell ref="A166:A173"/>
    <mergeCell ref="B166:B167"/>
    <mergeCell ref="B168:C168"/>
    <mergeCell ref="B169:C169"/>
    <mergeCell ref="B170:C170"/>
    <mergeCell ref="B171:C171"/>
    <mergeCell ref="B172:C172"/>
    <mergeCell ref="B173:C173"/>
    <mergeCell ref="A158:A165"/>
    <mergeCell ref="B158:B159"/>
    <mergeCell ref="B160:C160"/>
    <mergeCell ref="B161:C161"/>
    <mergeCell ref="B162:C162"/>
    <mergeCell ref="B163:C163"/>
    <mergeCell ref="B164:C164"/>
    <mergeCell ref="O117:O123"/>
    <mergeCell ref="P117:P118"/>
    <mergeCell ref="P119:Q119"/>
    <mergeCell ref="P120:Q120"/>
    <mergeCell ref="P121:Q121"/>
    <mergeCell ref="P122:Q122"/>
    <mergeCell ref="P123:Q123"/>
    <mergeCell ref="O110:O116"/>
    <mergeCell ref="P110:P111"/>
    <mergeCell ref="P112:Q112"/>
    <mergeCell ref="P113:Q113"/>
    <mergeCell ref="P114:Q114"/>
    <mergeCell ref="P115:Q115"/>
    <mergeCell ref="P116:Q116"/>
    <mergeCell ref="O131:O137"/>
    <mergeCell ref="P131:P132"/>
    <mergeCell ref="P133:Q133"/>
    <mergeCell ref="P134:Q134"/>
    <mergeCell ref="P135:Q135"/>
    <mergeCell ref="P136:Q136"/>
    <mergeCell ref="P137:Q137"/>
    <mergeCell ref="O124:O130"/>
    <mergeCell ref="P124:P125"/>
    <mergeCell ref="P126:Q126"/>
    <mergeCell ref="P127:Q127"/>
    <mergeCell ref="P128:Q128"/>
    <mergeCell ref="P129:Q129"/>
    <mergeCell ref="P130:Q130"/>
    <mergeCell ref="O145:O151"/>
    <mergeCell ref="P145:P146"/>
    <mergeCell ref="P147:Q147"/>
    <mergeCell ref="P148:Q148"/>
    <mergeCell ref="P149:Q149"/>
    <mergeCell ref="P150:Q150"/>
    <mergeCell ref="P151:Q151"/>
    <mergeCell ref="O138:O144"/>
    <mergeCell ref="P138:P139"/>
    <mergeCell ref="P140:Q140"/>
    <mergeCell ref="P141:Q141"/>
    <mergeCell ref="P142:Q142"/>
    <mergeCell ref="P143:Q143"/>
    <mergeCell ref="P144:Q144"/>
    <mergeCell ref="O159:O165"/>
    <mergeCell ref="P159:P160"/>
    <mergeCell ref="P161:Q161"/>
    <mergeCell ref="P162:Q162"/>
    <mergeCell ref="P163:Q163"/>
    <mergeCell ref="P164:Q164"/>
    <mergeCell ref="P165:Q165"/>
    <mergeCell ref="O152:O158"/>
    <mergeCell ref="P152:P153"/>
    <mergeCell ref="P154:Q154"/>
    <mergeCell ref="P155:Q155"/>
    <mergeCell ref="P156:Q156"/>
    <mergeCell ref="P157:Q157"/>
    <mergeCell ref="P158:Q158"/>
    <mergeCell ref="O173:O179"/>
    <mergeCell ref="P173:P174"/>
    <mergeCell ref="P175:Q175"/>
    <mergeCell ref="P176:Q176"/>
    <mergeCell ref="P177:Q177"/>
    <mergeCell ref="P178:Q178"/>
    <mergeCell ref="P179:Q179"/>
    <mergeCell ref="O166:O172"/>
    <mergeCell ref="P166:P167"/>
    <mergeCell ref="P168:Q168"/>
    <mergeCell ref="P169:Q169"/>
    <mergeCell ref="P170:Q170"/>
    <mergeCell ref="P171:Q171"/>
    <mergeCell ref="P172:Q172"/>
    <mergeCell ref="T103:T109"/>
    <mergeCell ref="U103:U104"/>
    <mergeCell ref="U105:V105"/>
    <mergeCell ref="U106:V106"/>
    <mergeCell ref="U107:V107"/>
    <mergeCell ref="U108:V108"/>
    <mergeCell ref="U109:V109"/>
    <mergeCell ref="T94:W94"/>
    <mergeCell ref="T95:W95"/>
    <mergeCell ref="T96:T102"/>
    <mergeCell ref="U96:U97"/>
    <mergeCell ref="U98:V98"/>
    <mergeCell ref="U99:V99"/>
    <mergeCell ref="U100:V100"/>
    <mergeCell ref="U101:V101"/>
    <mergeCell ref="U102:V102"/>
    <mergeCell ref="T117:T123"/>
    <mergeCell ref="U117:U118"/>
    <mergeCell ref="U119:V119"/>
    <mergeCell ref="U120:V120"/>
    <mergeCell ref="U121:V121"/>
    <mergeCell ref="U122:V122"/>
    <mergeCell ref="U123:V123"/>
    <mergeCell ref="T110:T116"/>
    <mergeCell ref="U110:U111"/>
    <mergeCell ref="U112:V112"/>
    <mergeCell ref="U113:V113"/>
    <mergeCell ref="U114:V114"/>
    <mergeCell ref="U115:V115"/>
    <mergeCell ref="U116:V116"/>
    <mergeCell ref="T131:T137"/>
    <mergeCell ref="U131:U132"/>
    <mergeCell ref="U133:V133"/>
    <mergeCell ref="U134:V134"/>
    <mergeCell ref="U135:V135"/>
    <mergeCell ref="U136:V136"/>
    <mergeCell ref="U137:V137"/>
    <mergeCell ref="T124:T130"/>
    <mergeCell ref="U124:U125"/>
    <mergeCell ref="U126:V126"/>
    <mergeCell ref="U127:V127"/>
    <mergeCell ref="U128:V128"/>
    <mergeCell ref="U129:V129"/>
    <mergeCell ref="U130:V130"/>
    <mergeCell ref="T145:T151"/>
    <mergeCell ref="U145:U146"/>
    <mergeCell ref="U147:V147"/>
    <mergeCell ref="U148:V148"/>
    <mergeCell ref="U149:V149"/>
    <mergeCell ref="U150:V150"/>
    <mergeCell ref="U151:V151"/>
    <mergeCell ref="T138:T144"/>
    <mergeCell ref="U138:U139"/>
    <mergeCell ref="U140:V140"/>
    <mergeCell ref="U141:V141"/>
    <mergeCell ref="U142:V142"/>
    <mergeCell ref="U143:V143"/>
    <mergeCell ref="U144:V144"/>
    <mergeCell ref="T159:T165"/>
    <mergeCell ref="U159:U160"/>
    <mergeCell ref="U161:V161"/>
    <mergeCell ref="U162:V162"/>
    <mergeCell ref="U163:V163"/>
    <mergeCell ref="U164:V164"/>
    <mergeCell ref="U165:V165"/>
    <mergeCell ref="T152:T158"/>
    <mergeCell ref="U152:U153"/>
    <mergeCell ref="U154:V154"/>
    <mergeCell ref="U155:V155"/>
    <mergeCell ref="U156:V156"/>
    <mergeCell ref="U157:V157"/>
    <mergeCell ref="U158:V158"/>
    <mergeCell ref="T173:T179"/>
    <mergeCell ref="U173:U174"/>
    <mergeCell ref="U175:V175"/>
    <mergeCell ref="U176:V176"/>
    <mergeCell ref="U177:V177"/>
    <mergeCell ref="U178:V178"/>
    <mergeCell ref="U179:V179"/>
    <mergeCell ref="T166:T172"/>
    <mergeCell ref="U166:U167"/>
    <mergeCell ref="U168:V168"/>
    <mergeCell ref="U169:V169"/>
    <mergeCell ref="U170:V170"/>
    <mergeCell ref="U171:V171"/>
    <mergeCell ref="U172:V17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D750-10D4-4382-8CB6-96251FCACF06}">
  <dimension ref="A1:N69"/>
  <sheetViews>
    <sheetView tabSelected="1" workbookViewId="0">
      <selection activeCell="Q27" sqref="Q27"/>
    </sheetView>
  </sheetViews>
  <sheetFormatPr defaultRowHeight="15"/>
  <sheetData>
    <row r="1" spans="1:14">
      <c r="A1" t="s">
        <v>243</v>
      </c>
      <c r="B1" t="s">
        <v>239</v>
      </c>
      <c r="C1" t="s">
        <v>239</v>
      </c>
      <c r="D1" t="s">
        <v>239</v>
      </c>
      <c r="E1" t="s">
        <v>239</v>
      </c>
      <c r="F1" t="s">
        <v>239</v>
      </c>
      <c r="G1" t="s">
        <v>239</v>
      </c>
      <c r="H1" t="s">
        <v>239</v>
      </c>
      <c r="I1" t="s">
        <v>239</v>
      </c>
      <c r="J1" t="s">
        <v>239</v>
      </c>
      <c r="K1" t="s">
        <v>239</v>
      </c>
      <c r="L1" t="s">
        <v>239</v>
      </c>
      <c r="M1" t="s">
        <v>239</v>
      </c>
      <c r="N1" t="s">
        <v>239</v>
      </c>
    </row>
    <row r="2" spans="1:14">
      <c r="A2" t="s">
        <v>244</v>
      </c>
      <c r="B2" t="s">
        <v>240</v>
      </c>
      <c r="C2" t="s">
        <v>240</v>
      </c>
      <c r="D2" t="s">
        <v>240</v>
      </c>
      <c r="E2" t="s">
        <v>240</v>
      </c>
      <c r="F2" t="s">
        <v>240</v>
      </c>
      <c r="G2" t="s">
        <v>240</v>
      </c>
      <c r="H2" t="s">
        <v>240</v>
      </c>
      <c r="I2" t="s">
        <v>240</v>
      </c>
      <c r="J2" t="s">
        <v>240</v>
      </c>
      <c r="K2" t="s">
        <v>240</v>
      </c>
      <c r="L2" t="s">
        <v>240</v>
      </c>
      <c r="M2" t="s">
        <v>240</v>
      </c>
      <c r="N2" t="s">
        <v>240</v>
      </c>
    </row>
    <row r="3" spans="1:14">
      <c r="A3" t="s">
        <v>245</v>
      </c>
      <c r="B3" t="s">
        <v>241</v>
      </c>
      <c r="C3" t="s">
        <v>312</v>
      </c>
      <c r="D3" t="s">
        <v>314</v>
      </c>
      <c r="E3" t="s">
        <v>316</v>
      </c>
      <c r="F3" t="s">
        <v>318</v>
      </c>
      <c r="G3" t="s">
        <v>320</v>
      </c>
      <c r="H3" t="s">
        <v>322</v>
      </c>
      <c r="I3" t="s">
        <v>324</v>
      </c>
      <c r="J3" t="s">
        <v>326</v>
      </c>
      <c r="K3" t="s">
        <v>328</v>
      </c>
      <c r="L3" t="s">
        <v>330</v>
      </c>
      <c r="M3" t="s">
        <v>332</v>
      </c>
      <c r="N3" t="s">
        <v>334</v>
      </c>
    </row>
    <row r="4" spans="1:14">
      <c r="A4" t="s">
        <v>246</v>
      </c>
      <c r="B4" t="s">
        <v>242</v>
      </c>
      <c r="C4" t="s">
        <v>313</v>
      </c>
      <c r="D4" t="s">
        <v>315</v>
      </c>
      <c r="E4" t="s">
        <v>317</v>
      </c>
      <c r="F4" t="s">
        <v>319</v>
      </c>
      <c r="G4" t="s">
        <v>321</v>
      </c>
      <c r="H4" t="s">
        <v>323</v>
      </c>
      <c r="I4" t="s">
        <v>325</v>
      </c>
      <c r="J4" t="s">
        <v>327</v>
      </c>
      <c r="K4" t="s">
        <v>329</v>
      </c>
      <c r="L4" t="s">
        <v>331</v>
      </c>
      <c r="M4" t="s">
        <v>333</v>
      </c>
      <c r="N4" t="s">
        <v>335</v>
      </c>
    </row>
    <row r="5" spans="1:14">
      <c r="A5" t="s">
        <v>247</v>
      </c>
      <c r="B5">
        <v>13734</v>
      </c>
      <c r="I5">
        <v>30.842067413092298</v>
      </c>
      <c r="J5">
        <v>496187</v>
      </c>
    </row>
    <row r="6" spans="1:14">
      <c r="A6" t="s">
        <v>248</v>
      </c>
      <c r="B6">
        <v>829</v>
      </c>
      <c r="I6">
        <v>30.982751341850701</v>
      </c>
      <c r="J6">
        <v>514252</v>
      </c>
    </row>
    <row r="7" spans="1:14">
      <c r="A7" t="s">
        <v>249</v>
      </c>
      <c r="B7">
        <v>2325</v>
      </c>
      <c r="I7">
        <v>31.073190081763901</v>
      </c>
      <c r="J7">
        <v>531761</v>
      </c>
    </row>
    <row r="8" spans="1:14">
      <c r="A8" t="s">
        <v>250</v>
      </c>
      <c r="B8">
        <v>4091</v>
      </c>
      <c r="I8">
        <v>31.1398055648366</v>
      </c>
      <c r="J8">
        <v>548877</v>
      </c>
    </row>
    <row r="9" spans="1:14">
      <c r="A9" t="s">
        <v>251</v>
      </c>
      <c r="B9">
        <v>6604</v>
      </c>
      <c r="I9">
        <v>31.190632624960401</v>
      </c>
      <c r="J9">
        <v>565840</v>
      </c>
    </row>
    <row r="10" spans="1:14">
      <c r="A10" t="s">
        <v>252</v>
      </c>
      <c r="B10">
        <v>9617</v>
      </c>
      <c r="I10">
        <v>31.233706096027198</v>
      </c>
      <c r="J10">
        <v>582443</v>
      </c>
    </row>
    <row r="11" spans="1:14">
      <c r="A11" t="s">
        <v>253</v>
      </c>
      <c r="B11">
        <v>11858</v>
      </c>
      <c r="I11">
        <v>31.2770608119285</v>
      </c>
      <c r="J11">
        <v>598822</v>
      </c>
    </row>
    <row r="12" spans="1:14">
      <c r="A12" t="s">
        <v>254</v>
      </c>
      <c r="B12">
        <v>12252</v>
      </c>
      <c r="I12">
        <v>31.328731606556101</v>
      </c>
      <c r="J12">
        <v>615797</v>
      </c>
    </row>
    <row r="13" spans="1:14">
      <c r="A13" t="s">
        <v>255</v>
      </c>
      <c r="B13">
        <v>10490</v>
      </c>
      <c r="I13">
        <v>31.3967533138017</v>
      </c>
      <c r="J13">
        <v>634928</v>
      </c>
    </row>
    <row r="14" spans="1:14">
      <c r="A14" t="s">
        <v>256</v>
      </c>
      <c r="B14">
        <v>2665</v>
      </c>
      <c r="I14">
        <v>31.490165365132199</v>
      </c>
      <c r="J14">
        <v>655529</v>
      </c>
    </row>
    <row r="15" spans="1:14">
      <c r="A15" t="s">
        <v>257</v>
      </c>
      <c r="B15">
        <v>92</v>
      </c>
      <c r="I15">
        <v>31.6190126513611</v>
      </c>
      <c r="J15">
        <v>675217</v>
      </c>
    </row>
    <row r="16" spans="1:14">
      <c r="A16" t="s">
        <v>258</v>
      </c>
      <c r="B16">
        <v>-911</v>
      </c>
      <c r="I16">
        <v>31.7832190295765</v>
      </c>
      <c r="J16">
        <v>695370</v>
      </c>
    </row>
    <row r="17" spans="1:13">
      <c r="A17" t="s">
        <v>259</v>
      </c>
      <c r="B17">
        <v>-1588</v>
      </c>
      <c r="I17">
        <v>31.975458279524101</v>
      </c>
      <c r="J17">
        <v>717250</v>
      </c>
    </row>
    <row r="18" spans="1:13">
      <c r="A18" t="s">
        <v>260</v>
      </c>
      <c r="B18">
        <v>-1419</v>
      </c>
      <c r="I18">
        <v>32.189062914468103</v>
      </c>
      <c r="J18">
        <v>739303</v>
      </c>
    </row>
    <row r="19" spans="1:13">
      <c r="A19" t="s">
        <v>261</v>
      </c>
      <c r="B19">
        <v>-1880</v>
      </c>
      <c r="I19">
        <v>32.417365447672402</v>
      </c>
      <c r="J19">
        <v>761848</v>
      </c>
    </row>
    <row r="20" spans="1:13">
      <c r="A20" t="s">
        <v>262</v>
      </c>
      <c r="B20">
        <v>-2610</v>
      </c>
      <c r="I20">
        <v>32.653698392401097</v>
      </c>
      <c r="J20">
        <v>785266</v>
      </c>
    </row>
    <row r="21" spans="1:13">
      <c r="A21" t="s">
        <v>263</v>
      </c>
      <c r="B21">
        <v>-1684</v>
      </c>
      <c r="I21">
        <v>32.8913942619184</v>
      </c>
      <c r="J21">
        <v>808643</v>
      </c>
    </row>
    <row r="22" spans="1:13">
      <c r="A22" t="s">
        <v>264</v>
      </c>
      <c r="B22">
        <v>-1417</v>
      </c>
      <c r="I22">
        <v>33.123785569488298</v>
      </c>
      <c r="J22">
        <v>832582</v>
      </c>
    </row>
    <row r="23" spans="1:13">
      <c r="A23" t="s">
        <v>265</v>
      </c>
      <c r="B23">
        <v>3230</v>
      </c>
      <c r="I23">
        <v>33.344204828374899</v>
      </c>
      <c r="J23">
        <v>855701</v>
      </c>
    </row>
    <row r="24" spans="1:13">
      <c r="A24" t="s">
        <v>266</v>
      </c>
      <c r="B24">
        <v>-1871</v>
      </c>
      <c r="I24">
        <v>33.545956957948398</v>
      </c>
      <c r="J24">
        <v>878177</v>
      </c>
    </row>
    <row r="25" spans="1:13">
      <c r="A25" t="s">
        <v>267</v>
      </c>
      <c r="B25">
        <v>-601</v>
      </c>
      <c r="C25">
        <v>5610.7735150900244</v>
      </c>
      <c r="D25">
        <v>239782.07581572022</v>
      </c>
      <c r="E25">
        <v>590.60773843052891</v>
      </c>
      <c r="F25">
        <v>5.6</v>
      </c>
      <c r="I25">
        <v>33.732940119358403</v>
      </c>
      <c r="J25">
        <v>901343</v>
      </c>
      <c r="L25">
        <v>0</v>
      </c>
    </row>
    <row r="26" spans="1:13">
      <c r="A26" t="s">
        <v>268</v>
      </c>
      <c r="B26">
        <v>-374</v>
      </c>
      <c r="C26">
        <v>5691.064306822751</v>
      </c>
      <c r="D26">
        <v>248530.88104149033</v>
      </c>
      <c r="E26">
        <v>663.29420825439979</v>
      </c>
      <c r="F26">
        <v>5.0999999999999996</v>
      </c>
      <c r="I26">
        <v>33.908630767484702</v>
      </c>
      <c r="J26">
        <v>924368</v>
      </c>
      <c r="L26">
        <v>0</v>
      </c>
    </row>
    <row r="27" spans="1:13">
      <c r="A27" t="s">
        <v>269</v>
      </c>
      <c r="B27">
        <v>-225</v>
      </c>
      <c r="C27">
        <v>5735.3396464002517</v>
      </c>
      <c r="D27">
        <v>250508.7893818595</v>
      </c>
      <c r="E27">
        <v>668.45450424245359</v>
      </c>
      <c r="F27">
        <v>3.6</v>
      </c>
      <c r="I27">
        <v>34.078980200442999</v>
      </c>
      <c r="J27">
        <v>948854</v>
      </c>
      <c r="L27">
        <v>0</v>
      </c>
    </row>
    <row r="28" spans="1:13">
      <c r="A28" t="s">
        <v>270</v>
      </c>
      <c r="B28">
        <v>66</v>
      </c>
      <c r="C28">
        <v>5676.07139340919</v>
      </c>
      <c r="D28">
        <v>247961.61056965886</v>
      </c>
      <c r="E28">
        <v>661.5467824486235</v>
      </c>
      <c r="F28">
        <v>4.4000000000000004</v>
      </c>
      <c r="I28">
        <v>34.249267211326199</v>
      </c>
      <c r="J28">
        <v>974035</v>
      </c>
      <c r="L28">
        <v>0</v>
      </c>
    </row>
    <row r="29" spans="1:13">
      <c r="A29" t="s">
        <v>271</v>
      </c>
      <c r="B29">
        <v>64</v>
      </c>
      <c r="C29">
        <v>5486.7789847849608</v>
      </c>
      <c r="D29">
        <v>239760.28723724111</v>
      </c>
      <c r="E29">
        <v>639.48473016141736</v>
      </c>
      <c r="F29">
        <v>5.7</v>
      </c>
      <c r="I29">
        <v>34.424770593227102</v>
      </c>
      <c r="J29">
        <v>999843</v>
      </c>
      <c r="L29">
        <v>0</v>
      </c>
      <c r="M29">
        <v>52095064.332733497</v>
      </c>
    </row>
    <row r="30" spans="1:13">
      <c r="A30" t="s">
        <v>272</v>
      </c>
      <c r="B30">
        <v>-183</v>
      </c>
      <c r="C30">
        <v>5490.0494542226324</v>
      </c>
      <c r="D30">
        <v>239063.55499540569</v>
      </c>
      <c r="E30">
        <v>639.86590375555159</v>
      </c>
      <c r="F30">
        <v>6.7</v>
      </c>
      <c r="I30">
        <v>34.610769139238698</v>
      </c>
      <c r="J30">
        <v>1026127</v>
      </c>
      <c r="L30">
        <v>0</v>
      </c>
      <c r="M30">
        <v>53156603.736112803</v>
      </c>
    </row>
    <row r="31" spans="1:13">
      <c r="A31" t="s">
        <v>273</v>
      </c>
      <c r="B31">
        <v>-2309</v>
      </c>
      <c r="C31">
        <v>5550.9877970710986</v>
      </c>
      <c r="D31">
        <v>247704.87903988903</v>
      </c>
      <c r="E31">
        <v>693.87347463388733</v>
      </c>
      <c r="F31">
        <v>6.4</v>
      </c>
      <c r="I31">
        <v>34.812541642453802</v>
      </c>
      <c r="J31">
        <v>1052256</v>
      </c>
      <c r="L31">
        <v>0</v>
      </c>
      <c r="M31">
        <v>58727935</v>
      </c>
    </row>
    <row r="32" spans="1:13">
      <c r="A32" t="s">
        <v>274</v>
      </c>
      <c r="B32">
        <v>-3250</v>
      </c>
      <c r="C32">
        <v>5398.3470645559328</v>
      </c>
      <c r="D32">
        <v>240894.24235886824</v>
      </c>
      <c r="E32">
        <v>674.7933830694916</v>
      </c>
      <c r="F32">
        <v>6.1</v>
      </c>
      <c r="I32">
        <v>35.035366895965304</v>
      </c>
      <c r="J32">
        <v>1080352</v>
      </c>
      <c r="L32">
        <v>0</v>
      </c>
      <c r="M32">
        <v>58273495</v>
      </c>
    </row>
    <row r="33" spans="1:14">
      <c r="A33" t="s">
        <v>275</v>
      </c>
      <c r="B33">
        <v>658</v>
      </c>
      <c r="C33">
        <v>5222.1945711725293</v>
      </c>
      <c r="D33">
        <v>233035.01389946206</v>
      </c>
      <c r="E33">
        <v>652.77432139656617</v>
      </c>
      <c r="F33">
        <v>7</v>
      </c>
      <c r="I33">
        <v>35.284523692866003</v>
      </c>
      <c r="J33">
        <v>1108758</v>
      </c>
      <c r="L33">
        <v>0</v>
      </c>
      <c r="M33">
        <v>57440215</v>
      </c>
    </row>
    <row r="34" spans="1:14">
      <c r="A34" t="s">
        <v>276</v>
      </c>
      <c r="B34">
        <v>-38835</v>
      </c>
      <c r="C34">
        <v>5583.9647726121557</v>
      </c>
      <c r="D34">
        <v>249169.46640211117</v>
      </c>
      <c r="E34">
        <v>697.99559657651946</v>
      </c>
      <c r="F34">
        <v>7.3</v>
      </c>
      <c r="I34">
        <v>35.566989783401297</v>
      </c>
      <c r="J34">
        <v>1148082</v>
      </c>
      <c r="L34">
        <v>0</v>
      </c>
      <c r="M34">
        <v>63083720</v>
      </c>
    </row>
    <row r="35" spans="1:14">
      <c r="A35" t="s">
        <v>277</v>
      </c>
      <c r="B35">
        <v>-60173</v>
      </c>
      <c r="C35">
        <v>4937.8434841240432</v>
      </c>
      <c r="D35">
        <v>221292.6224671168</v>
      </c>
      <c r="E35">
        <v>617.23043551550541</v>
      </c>
      <c r="F35">
        <v>9.5</v>
      </c>
      <c r="I35">
        <v>35.897047801284401</v>
      </c>
      <c r="J35">
        <v>1179772</v>
      </c>
      <c r="L35">
        <v>0</v>
      </c>
      <c r="M35">
        <v>56746305</v>
      </c>
    </row>
    <row r="36" spans="1:14">
      <c r="A36" t="s">
        <v>278</v>
      </c>
      <c r="B36">
        <v>-63689</v>
      </c>
      <c r="C36">
        <v>4846.852720866661</v>
      </c>
      <c r="D36">
        <v>160289.28171079257</v>
      </c>
      <c r="E36">
        <v>336.58699450462922</v>
      </c>
      <c r="F36">
        <v>9.1</v>
      </c>
      <c r="I36">
        <v>36.282411606506002</v>
      </c>
      <c r="J36">
        <v>1185270</v>
      </c>
      <c r="L36">
        <v>0</v>
      </c>
      <c r="M36">
        <v>30180052.777777798</v>
      </c>
    </row>
    <row r="37" spans="1:14">
      <c r="A37" t="s">
        <v>279</v>
      </c>
      <c r="B37">
        <v>-66538</v>
      </c>
      <c r="C37">
        <v>15070.444180066825</v>
      </c>
      <c r="D37">
        <v>149674.04195021986</v>
      </c>
      <c r="E37">
        <v>200.852219772323</v>
      </c>
      <c r="F37">
        <v>26.5</v>
      </c>
      <c r="G37">
        <v>23.27596153374564</v>
      </c>
      <c r="I37">
        <v>36.718427513143901</v>
      </c>
      <c r="J37">
        <v>1192262</v>
      </c>
      <c r="L37">
        <v>20000000</v>
      </c>
      <c r="M37">
        <v>17278099.724785902</v>
      </c>
    </row>
    <row r="38" spans="1:14">
      <c r="A38" t="s">
        <v>280</v>
      </c>
      <c r="B38">
        <v>-68445</v>
      </c>
      <c r="C38">
        <v>37485.435909480628</v>
      </c>
      <c r="D38">
        <v>164985.62061570602</v>
      </c>
      <c r="E38">
        <v>367.27922507758115</v>
      </c>
      <c r="F38">
        <v>22.3</v>
      </c>
      <c r="G38">
        <v>28.00942102194265</v>
      </c>
      <c r="I38">
        <v>37.201625125729002</v>
      </c>
      <c r="J38">
        <v>1200603</v>
      </c>
      <c r="L38">
        <v>58000000</v>
      </c>
      <c r="M38">
        <v>34138033.130679801</v>
      </c>
    </row>
    <row r="39" spans="1:14">
      <c r="A39" t="s">
        <v>281</v>
      </c>
      <c r="B39">
        <v>-70165</v>
      </c>
      <c r="C39">
        <v>55488.649231060852</v>
      </c>
      <c r="D39">
        <v>179784.43755580607</v>
      </c>
      <c r="E39">
        <v>586.41613513086509</v>
      </c>
      <c r="F39">
        <v>18.399999999999999</v>
      </c>
      <c r="G39">
        <v>16.326848606745497</v>
      </c>
      <c r="I39">
        <v>37.728534048792</v>
      </c>
      <c r="J39">
        <v>1210156</v>
      </c>
      <c r="L39">
        <v>53000000</v>
      </c>
      <c r="M39">
        <v>53053042.707240202</v>
      </c>
      <c r="N39">
        <v>3.4469799995422399</v>
      </c>
    </row>
    <row r="40" spans="1:14">
      <c r="A40" t="s">
        <v>282</v>
      </c>
      <c r="B40">
        <v>-69785</v>
      </c>
      <c r="C40">
        <v>84477.12884561815</v>
      </c>
      <c r="D40">
        <v>204998.29869275962</v>
      </c>
      <c r="E40">
        <v>911.32046544532648</v>
      </c>
      <c r="F40">
        <v>12.9</v>
      </c>
      <c r="G40">
        <v>14.708652343329698</v>
      </c>
      <c r="I40">
        <v>38.295683886863799</v>
      </c>
      <c r="J40">
        <v>1220784</v>
      </c>
      <c r="L40">
        <v>70000000</v>
      </c>
      <c r="M40">
        <v>69261077.507648304</v>
      </c>
      <c r="N40">
        <v>3.8146400451660201</v>
      </c>
    </row>
    <row r="41" spans="1:14">
      <c r="A41" t="s">
        <v>283</v>
      </c>
      <c r="B41">
        <v>-68076</v>
      </c>
      <c r="C41">
        <v>106690.90514524312</v>
      </c>
      <c r="D41">
        <v>221409.46587361937</v>
      </c>
      <c r="E41">
        <v>1020.9761805018813</v>
      </c>
      <c r="F41">
        <v>12.3</v>
      </c>
      <c r="G41">
        <v>17.032071261959853</v>
      </c>
      <c r="H41">
        <v>36.065304166339985</v>
      </c>
      <c r="I41">
        <v>38.8996042444751</v>
      </c>
      <c r="J41">
        <v>1232352</v>
      </c>
      <c r="L41">
        <v>90100000</v>
      </c>
      <c r="M41">
        <v>92997318.767458797</v>
      </c>
      <c r="N41">
        <v>3.0835099220275901</v>
      </c>
    </row>
    <row r="42" spans="1:14">
      <c r="A42" t="s">
        <v>284</v>
      </c>
      <c r="B42">
        <v>-66188</v>
      </c>
      <c r="C42">
        <v>106877.62833114325</v>
      </c>
      <c r="D42">
        <v>196705.34930014188</v>
      </c>
      <c r="E42">
        <v>728.54552372967453</v>
      </c>
      <c r="F42">
        <v>14.9</v>
      </c>
      <c r="G42">
        <v>13.092577388038155</v>
      </c>
      <c r="H42">
        <v>-16.882096090297878</v>
      </c>
      <c r="I42">
        <v>39.536824726156702</v>
      </c>
      <c r="J42">
        <v>1244730</v>
      </c>
      <c r="L42">
        <v>47500000</v>
      </c>
      <c r="M42">
        <v>65635997.796010897</v>
      </c>
      <c r="N42">
        <v>3.3794701099395801</v>
      </c>
    </row>
    <row r="43" spans="1:14">
      <c r="A43" t="s">
        <v>285</v>
      </c>
      <c r="B43">
        <v>-66087</v>
      </c>
      <c r="C43">
        <v>125640.46501072388</v>
      </c>
      <c r="D43">
        <v>214396.64842593807</v>
      </c>
      <c r="E43">
        <v>831.17534407729477</v>
      </c>
      <c r="F43">
        <v>17.7</v>
      </c>
      <c r="G43">
        <v>19.387337975282183</v>
      </c>
      <c r="H43">
        <v>7.8878975000730662</v>
      </c>
      <c r="I43">
        <v>40.203874936439398</v>
      </c>
      <c r="J43">
        <v>1257790</v>
      </c>
      <c r="L43">
        <v>45010000</v>
      </c>
      <c r="M43">
        <v>74552170.052172601</v>
      </c>
      <c r="N43">
        <v>3.5369799137115501</v>
      </c>
    </row>
    <row r="44" spans="1:14">
      <c r="A44" t="s">
        <v>286</v>
      </c>
      <c r="B44">
        <v>-63093</v>
      </c>
      <c r="C44">
        <v>145881.21847233866</v>
      </c>
      <c r="D44">
        <v>242190.8731662409</v>
      </c>
      <c r="E44">
        <v>1056.3448115303306</v>
      </c>
      <c r="F44">
        <v>18.399999999999999</v>
      </c>
      <c r="G44">
        <v>12.399733634051424</v>
      </c>
      <c r="H44">
        <v>15.739797731078681</v>
      </c>
      <c r="I44">
        <v>40.8972844798541</v>
      </c>
      <c r="J44">
        <v>1271406</v>
      </c>
      <c r="L44">
        <v>41200000</v>
      </c>
      <c r="M44">
        <v>94194228.939520895</v>
      </c>
      <c r="N44">
        <v>3.5929300785064702</v>
      </c>
    </row>
    <row r="45" spans="1:14">
      <c r="A45" t="s">
        <v>287</v>
      </c>
      <c r="B45">
        <v>-60531</v>
      </c>
      <c r="C45">
        <v>167109.83112157971</v>
      </c>
      <c r="D45">
        <v>261929.35166963577</v>
      </c>
      <c r="E45">
        <v>1160.4204705403845</v>
      </c>
      <c r="F45">
        <v>16.8</v>
      </c>
      <c r="G45">
        <v>16.677034414381168</v>
      </c>
      <c r="H45">
        <v>11.519429549389272</v>
      </c>
      <c r="I45">
        <v>41.613582960931403</v>
      </c>
      <c r="J45">
        <v>1285455</v>
      </c>
      <c r="L45">
        <v>143000000</v>
      </c>
      <c r="M45">
        <v>103529106.762803</v>
      </c>
      <c r="N45">
        <v>3.4301700592040998</v>
      </c>
    </row>
    <row r="46" spans="1:14">
      <c r="A46" t="s">
        <v>288</v>
      </c>
      <c r="B46">
        <v>-48070</v>
      </c>
      <c r="C46">
        <v>190552.99782071143</v>
      </c>
      <c r="D46">
        <v>287834.67156922171</v>
      </c>
      <c r="E46">
        <v>1326.4165238807702</v>
      </c>
      <c r="F46">
        <v>16.399999999999999</v>
      </c>
      <c r="G46">
        <v>17.228109591070126</v>
      </c>
      <c r="H46">
        <v>11.023463031007651</v>
      </c>
      <c r="I46">
        <v>42.354513990929</v>
      </c>
      <c r="J46">
        <v>1296121</v>
      </c>
      <c r="L46">
        <v>207300000</v>
      </c>
      <c r="M46">
        <v>117813749.998257</v>
      </c>
      <c r="N46">
        <v>3.4586999416351301</v>
      </c>
    </row>
    <row r="47" spans="1:14">
      <c r="A47" t="s">
        <v>289</v>
      </c>
      <c r="B47">
        <v>-45178</v>
      </c>
      <c r="C47">
        <v>207777.95700440183</v>
      </c>
      <c r="D47">
        <v>302061.254142071</v>
      </c>
      <c r="E47">
        <v>1479.8388457200615</v>
      </c>
      <c r="F47">
        <v>4.6150000000000002</v>
      </c>
      <c r="G47">
        <v>16.247386348192688</v>
      </c>
      <c r="H47">
        <v>3.4165509480278189</v>
      </c>
      <c r="I47">
        <v>43.152041960941901</v>
      </c>
      <c r="J47">
        <v>1316573</v>
      </c>
      <c r="L47">
        <v>135000000</v>
      </c>
      <c r="M47">
        <v>130723337.47966599</v>
      </c>
      <c r="N47">
        <v>3.1177999973297101</v>
      </c>
    </row>
    <row r="48" spans="1:14">
      <c r="A48" t="s">
        <v>290</v>
      </c>
      <c r="B48">
        <v>-48517</v>
      </c>
      <c r="C48">
        <v>230526.36734376973</v>
      </c>
      <c r="D48">
        <v>319363.64290752518</v>
      </c>
      <c r="E48">
        <v>1908.6990068760756</v>
      </c>
      <c r="F48">
        <v>15</v>
      </c>
      <c r="G48">
        <v>15.3187296457995</v>
      </c>
      <c r="H48">
        <v>5.9269551795292301</v>
      </c>
      <c r="I48">
        <v>44.029508922320801</v>
      </c>
      <c r="J48">
        <v>1338328</v>
      </c>
      <c r="L48">
        <v>178036400.666666</v>
      </c>
      <c r="M48">
        <v>170291092.37114701</v>
      </c>
      <c r="N48">
        <v>3.1382300853729199</v>
      </c>
    </row>
    <row r="49" spans="1:14">
      <c r="A49" t="s">
        <v>291</v>
      </c>
      <c r="B49">
        <v>-48654</v>
      </c>
      <c r="C49">
        <v>251225.66645710403</v>
      </c>
      <c r="D49">
        <v>337590.11909390974</v>
      </c>
      <c r="E49">
        <v>2446.9094994779816</v>
      </c>
      <c r="F49">
        <v>14.4</v>
      </c>
      <c r="G49">
        <v>15.670684644424027</v>
      </c>
      <c r="H49">
        <v>6.432674154334876</v>
      </c>
      <c r="I49">
        <v>44.978492566939401</v>
      </c>
      <c r="J49">
        <v>1361472</v>
      </c>
      <c r="L49">
        <v>341285112.53756201</v>
      </c>
      <c r="M49">
        <v>218993873.39303401</v>
      </c>
      <c r="N49">
        <v>3.2275199890136701</v>
      </c>
    </row>
    <row r="50" spans="1:14">
      <c r="A50" t="s">
        <v>292</v>
      </c>
      <c r="B50">
        <v>-48893</v>
      </c>
      <c r="C50">
        <v>273816.4091692908</v>
      </c>
      <c r="D50">
        <v>356732.32376563473</v>
      </c>
      <c r="E50">
        <v>2741.7213654957841</v>
      </c>
      <c r="F50">
        <v>6.5659999999999998</v>
      </c>
      <c r="G50">
        <v>15.620173160919803</v>
      </c>
      <c r="H50">
        <v>4.4943980186164794</v>
      </c>
      <c r="I50">
        <v>45.993766692058301</v>
      </c>
      <c r="J50">
        <v>1385096</v>
      </c>
      <c r="L50">
        <v>262479012.63746399</v>
      </c>
      <c r="M50">
        <v>246457134.928229</v>
      </c>
      <c r="N50">
        <v>3.2815499305725102</v>
      </c>
    </row>
    <row r="51" spans="1:14">
      <c r="A51" t="s">
        <v>293</v>
      </c>
      <c r="B51">
        <v>-48882</v>
      </c>
      <c r="C51">
        <v>299977.81525235862</v>
      </c>
      <c r="D51">
        <v>380597.64986147254</v>
      </c>
      <c r="E51">
        <v>3057.7725703811257</v>
      </c>
      <c r="F51">
        <v>13.8</v>
      </c>
      <c r="G51">
        <v>14.856708869986276</v>
      </c>
      <c r="H51">
        <v>7.5888866520066784</v>
      </c>
      <c r="I51">
        <v>47.070105094937801</v>
      </c>
      <c r="J51">
        <v>1408595</v>
      </c>
      <c r="L51">
        <v>325138316.80369598</v>
      </c>
      <c r="M51">
        <v>276848712.75080103</v>
      </c>
      <c r="N51">
        <v>3.1914598941803001</v>
      </c>
    </row>
    <row r="52" spans="1:14">
      <c r="A52" t="s">
        <v>294</v>
      </c>
      <c r="B52">
        <v>-49770</v>
      </c>
      <c r="C52">
        <v>338476.60781066236</v>
      </c>
      <c r="D52">
        <v>408411.66000059934</v>
      </c>
      <c r="E52">
        <v>3743.0552989618714</v>
      </c>
      <c r="F52">
        <v>15.965999999999999</v>
      </c>
      <c r="G52">
        <v>13.20525505481578</v>
      </c>
      <c r="H52">
        <v>4.5007100986609316</v>
      </c>
      <c r="I52">
        <v>48.202281572838402</v>
      </c>
      <c r="J52">
        <v>1431616</v>
      </c>
      <c r="K52">
        <v>2.33</v>
      </c>
      <c r="L52">
        <v>652275603.72280204</v>
      </c>
      <c r="M52">
        <v>334246631.06817001</v>
      </c>
      <c r="N52">
        <v>3.27592992782593</v>
      </c>
    </row>
    <row r="53" spans="1:14">
      <c r="A53" t="s">
        <v>295</v>
      </c>
      <c r="B53">
        <v>-50619</v>
      </c>
      <c r="C53">
        <v>377400.28446239524</v>
      </c>
      <c r="D53">
        <v>439984.17501494579</v>
      </c>
      <c r="E53">
        <v>4498.5048676360075</v>
      </c>
      <c r="F53">
        <v>13.06</v>
      </c>
      <c r="G53">
        <v>14.070827519136934</v>
      </c>
      <c r="H53">
        <v>7.6735400263955569</v>
      </c>
      <c r="I53">
        <v>49.385069923020701</v>
      </c>
      <c r="J53">
        <v>1455533</v>
      </c>
      <c r="L53">
        <v>1247181714.3055799</v>
      </c>
      <c r="M53">
        <v>397189689.982943</v>
      </c>
    </row>
    <row r="54" spans="1:14">
      <c r="A54" t="s">
        <v>296</v>
      </c>
      <c r="B54">
        <v>-51657</v>
      </c>
      <c r="C54">
        <v>400204.56253230124</v>
      </c>
      <c r="D54">
        <v>454878.14705899433</v>
      </c>
      <c r="E54">
        <v>4213.6500757469321</v>
      </c>
      <c r="F54">
        <v>13.673999999999999</v>
      </c>
      <c r="G54">
        <v>13.92478903075591</v>
      </c>
      <c r="H54">
        <v>1.7877537824434455</v>
      </c>
      <c r="I54">
        <v>50.613243942744901</v>
      </c>
      <c r="J54">
        <v>1481712</v>
      </c>
      <c r="L54">
        <v>1345415233.6561899</v>
      </c>
      <c r="M54">
        <v>366306134.08789998</v>
      </c>
    </row>
    <row r="55" spans="1:14">
      <c r="A55" t="s">
        <v>297</v>
      </c>
      <c r="B55">
        <v>-51907</v>
      </c>
      <c r="C55">
        <v>431248.27095307584</v>
      </c>
      <c r="D55">
        <v>470733.5984876182</v>
      </c>
      <c r="E55">
        <v>4149.1446993684704</v>
      </c>
      <c r="F55">
        <v>14.086</v>
      </c>
      <c r="G55">
        <v>13.126780127608798</v>
      </c>
      <c r="H55">
        <v>3.2323931244642097</v>
      </c>
      <c r="I55">
        <v>51.881577429271601</v>
      </c>
      <c r="J55">
        <v>1511321</v>
      </c>
      <c r="K55">
        <v>2.14</v>
      </c>
      <c r="L55">
        <v>1089898207.5743101</v>
      </c>
      <c r="M55">
        <v>367574831.06192398</v>
      </c>
    </row>
    <row r="56" spans="1:14">
      <c r="A56" t="s">
        <v>298</v>
      </c>
      <c r="B56">
        <v>-18630</v>
      </c>
      <c r="C56">
        <v>450571.44394782447</v>
      </c>
      <c r="D56">
        <v>483629.49867392721</v>
      </c>
      <c r="E56">
        <v>4465.7091432886482</v>
      </c>
      <c r="F56">
        <v>13.481</v>
      </c>
      <c r="G56">
        <v>11.963216583923995</v>
      </c>
      <c r="H56">
        <v>0.48182489237402137</v>
      </c>
      <c r="I56">
        <v>53.291738289246503</v>
      </c>
      <c r="J56">
        <v>1548229</v>
      </c>
      <c r="L56">
        <v>1048706682.05458</v>
      </c>
      <c r="M56">
        <v>404295655.24303597</v>
      </c>
      <c r="N56">
        <v>3.1788131074302601</v>
      </c>
    </row>
    <row r="57" spans="1:14">
      <c r="A57" t="s">
        <v>299</v>
      </c>
      <c r="B57">
        <v>-19845</v>
      </c>
      <c r="C57">
        <v>463129.18826388434</v>
      </c>
      <c r="D57">
        <v>495984.00123326114</v>
      </c>
      <c r="E57">
        <v>4280.9331633887268</v>
      </c>
      <c r="F57">
        <v>13.375999999999999</v>
      </c>
      <c r="G57">
        <v>11.593292325551529</v>
      </c>
      <c r="H57">
        <v>2.0049190964024604</v>
      </c>
      <c r="I57">
        <v>53.8637553661449</v>
      </c>
      <c r="J57">
        <v>1540885</v>
      </c>
      <c r="K57">
        <v>2.4300000000000002</v>
      </c>
      <c r="L57">
        <v>917994575.80185604</v>
      </c>
      <c r="M57">
        <v>386165196.65280098</v>
      </c>
      <c r="N57">
        <v>3.2953398692859799</v>
      </c>
    </row>
    <row r="58" spans="1:14">
      <c r="A58" t="s">
        <v>300</v>
      </c>
      <c r="B58">
        <v>-20681</v>
      </c>
      <c r="C58">
        <v>480047.52692851936</v>
      </c>
      <c r="D58">
        <v>512296.37101326208</v>
      </c>
      <c r="E58">
        <v>4542.9290355673884</v>
      </c>
      <c r="F58">
        <v>15.866</v>
      </c>
      <c r="G58">
        <v>10.016797120489224</v>
      </c>
      <c r="H58">
        <v>4.9656539952814001</v>
      </c>
      <c r="I58">
        <v>54.297967805854803</v>
      </c>
      <c r="J58">
        <v>1529521</v>
      </c>
      <c r="L58">
        <v>1254150555.5129299</v>
      </c>
      <c r="M58">
        <v>413360041.921637</v>
      </c>
      <c r="N58">
        <v>3.53929996490479</v>
      </c>
    </row>
    <row r="59" spans="1:14">
      <c r="A59" t="s">
        <v>301</v>
      </c>
      <c r="B59">
        <v>-21706</v>
      </c>
      <c r="C59">
        <v>505628.66549353278</v>
      </c>
      <c r="D59">
        <v>531918.1941021001</v>
      </c>
      <c r="E59">
        <v>4793.5975113152526</v>
      </c>
      <c r="F59">
        <v>18.055</v>
      </c>
      <c r="G59">
        <v>10.687221560271201</v>
      </c>
      <c r="H59">
        <v>2.8953260861071612</v>
      </c>
      <c r="I59">
        <v>54.7325813178673</v>
      </c>
      <c r="J59">
        <v>1518154</v>
      </c>
      <c r="L59">
        <v>1149927985.77736</v>
      </c>
      <c r="M59">
        <v>420811677.83054203</v>
      </c>
      <c r="N59">
        <v>3.1817773455325402</v>
      </c>
    </row>
    <row r="60" spans="1:14">
      <c r="A60" t="s">
        <v>302</v>
      </c>
      <c r="B60">
        <v>-20500</v>
      </c>
      <c r="C60">
        <v>528980.9493525594</v>
      </c>
      <c r="D60">
        <v>552223.82259977236</v>
      </c>
      <c r="E60">
        <v>4199.5391292539762</v>
      </c>
      <c r="F60">
        <v>17.193000000000001</v>
      </c>
      <c r="G60">
        <v>11.254090414410364</v>
      </c>
      <c r="H60">
        <v>2.9337392907919906</v>
      </c>
      <c r="I60">
        <v>55.157929137489397</v>
      </c>
      <c r="J60">
        <v>1506525</v>
      </c>
      <c r="L60">
        <v>989578334.82861495</v>
      </c>
      <c r="M60">
        <v>359944696.167548</v>
      </c>
      <c r="N60">
        <v>3.4379699230194101</v>
      </c>
    </row>
    <row r="61" spans="1:14">
      <c r="A61" t="s">
        <v>303</v>
      </c>
      <c r="B61">
        <v>-9347</v>
      </c>
      <c r="C61">
        <v>553381.84399968921</v>
      </c>
      <c r="D61">
        <v>582733.2278230387</v>
      </c>
      <c r="E61">
        <v>4457.6341220749473</v>
      </c>
      <c r="F61">
        <v>15.417999999999999</v>
      </c>
      <c r="G61">
        <v>10.893696292584456</v>
      </c>
      <c r="H61">
        <v>7.0104010547201767</v>
      </c>
      <c r="I61">
        <v>55.573873446427598</v>
      </c>
      <c r="J61">
        <v>1494642</v>
      </c>
      <c r="K61">
        <v>1.980952</v>
      </c>
      <c r="L61">
        <v>1044389554.85795</v>
      </c>
      <c r="M61">
        <v>430652244.139292</v>
      </c>
      <c r="N61">
        <v>3.9620900154113801</v>
      </c>
    </row>
    <row r="62" spans="1:14">
      <c r="A62" t="s">
        <v>304</v>
      </c>
      <c r="B62">
        <v>-14901</v>
      </c>
      <c r="C62">
        <v>596255.98951774451</v>
      </c>
      <c r="D62">
        <v>611225.11168548698</v>
      </c>
      <c r="E62">
        <v>5006.3601295195913</v>
      </c>
      <c r="F62">
        <v>13.616</v>
      </c>
      <c r="G62">
        <v>9.8943722440792445</v>
      </c>
      <c r="H62">
        <v>2.4802823424245446</v>
      </c>
      <c r="I62">
        <v>55.980276426545998</v>
      </c>
      <c r="J62">
        <v>1482517</v>
      </c>
      <c r="L62">
        <v>1022757857.07376</v>
      </c>
      <c r="M62">
        <v>431208986.61001903</v>
      </c>
      <c r="N62">
        <v>3.6117200851440399</v>
      </c>
    </row>
    <row r="63" spans="1:14">
      <c r="A63" t="s">
        <v>305</v>
      </c>
      <c r="B63">
        <v>-15032</v>
      </c>
      <c r="C63">
        <v>636882.79950439709</v>
      </c>
      <c r="D63">
        <v>643519.67636257235</v>
      </c>
      <c r="E63">
        <v>5897.6545258877422</v>
      </c>
      <c r="F63">
        <v>12.304</v>
      </c>
      <c r="G63">
        <v>9.4815128324467537</v>
      </c>
      <c r="H63">
        <v>5.5780230550004575</v>
      </c>
      <c r="I63">
        <v>56.377000259892</v>
      </c>
      <c r="J63">
        <v>1470162</v>
      </c>
      <c r="K63">
        <v>2.29</v>
      </c>
      <c r="L63">
        <v>1204383363.6047599</v>
      </c>
      <c r="M63">
        <v>448927337.82977903</v>
      </c>
      <c r="N63">
        <v>3.0820137040738902</v>
      </c>
    </row>
    <row r="64" spans="1:14">
      <c r="A64" t="s">
        <v>306</v>
      </c>
      <c r="B64">
        <v>-23094</v>
      </c>
      <c r="C64">
        <v>666732.93343214679</v>
      </c>
      <c r="D64">
        <v>667006.5877768565</v>
      </c>
      <c r="E64">
        <v>6069.4390313102749</v>
      </c>
      <c r="F64">
        <v>11.465999999999999</v>
      </c>
      <c r="G64">
        <v>9.4501231565374457</v>
      </c>
      <c r="H64">
        <v>2.4089769230744906</v>
      </c>
      <c r="I64">
        <v>56.763907128725499</v>
      </c>
      <c r="J64">
        <v>1457584</v>
      </c>
      <c r="L64">
        <v>1201022154.4664299</v>
      </c>
      <c r="M64">
        <v>523879044.591748</v>
      </c>
      <c r="N64">
        <v>3.87018990516663</v>
      </c>
    </row>
    <row r="65" spans="1:14">
      <c r="A65" t="s">
        <v>307</v>
      </c>
      <c r="B65">
        <v>-16680</v>
      </c>
      <c r="C65">
        <v>654932.80255331262</v>
      </c>
      <c r="D65">
        <v>654932.66555400868</v>
      </c>
      <c r="E65">
        <v>6027.9135071634846</v>
      </c>
      <c r="F65">
        <v>11.638999999999999</v>
      </c>
      <c r="G65">
        <v>9.6184180074696179</v>
      </c>
      <c r="H65">
        <v>-1.6823631426414352</v>
      </c>
      <c r="I65">
        <v>57.1408592155544</v>
      </c>
      <c r="J65">
        <v>1444795</v>
      </c>
      <c r="L65">
        <v>1069744879.65452</v>
      </c>
      <c r="M65">
        <v>415568658.03887701</v>
      </c>
      <c r="N65">
        <v>3.325040102005</v>
      </c>
    </row>
    <row r="66" spans="1:14">
      <c r="A66" t="s">
        <v>308</v>
      </c>
      <c r="B66">
        <v>-32848</v>
      </c>
      <c r="C66">
        <v>749738.95520937338</v>
      </c>
      <c r="D66">
        <v>724775.66365781147</v>
      </c>
      <c r="E66">
        <v>7242.4551314661267</v>
      </c>
      <c r="F66">
        <v>11.474</v>
      </c>
      <c r="G66">
        <v>9.5294859802489729</v>
      </c>
      <c r="H66">
        <v>13.001060603090409</v>
      </c>
      <c r="I66">
        <v>57.507718703177801</v>
      </c>
      <c r="J66">
        <v>1431805</v>
      </c>
      <c r="L66">
        <v>1218586452.3715701</v>
      </c>
      <c r="M66">
        <v>502821564.42839301</v>
      </c>
      <c r="N66">
        <v>3.0055599212646502</v>
      </c>
    </row>
    <row r="67" spans="1:14">
      <c r="A67" t="s">
        <v>309</v>
      </c>
      <c r="B67">
        <v>-16426</v>
      </c>
      <c r="C67">
        <v>876859.9026119702</v>
      </c>
      <c r="D67">
        <v>771574.34288776969</v>
      </c>
      <c r="E67">
        <v>7756.9618874425323</v>
      </c>
      <c r="F67">
        <v>10.785</v>
      </c>
      <c r="G67">
        <v>9.1771702523111252</v>
      </c>
      <c r="I67">
        <v>57.864347774738299</v>
      </c>
      <c r="J67">
        <v>1418623</v>
      </c>
      <c r="K67">
        <v>2.7</v>
      </c>
      <c r="L67">
        <v>1441381891.41694</v>
      </c>
      <c r="N67">
        <v>2.7297699451446502</v>
      </c>
    </row>
    <row r="68" spans="1:14">
      <c r="A68" t="s">
        <v>310</v>
      </c>
      <c r="B68">
        <v>-25357</v>
      </c>
      <c r="C68">
        <v>979363.33255319286</v>
      </c>
      <c r="D68">
        <v>815036.62751465873</v>
      </c>
      <c r="E68">
        <v>9730.8692190689344</v>
      </c>
      <c r="F68">
        <v>10.669</v>
      </c>
      <c r="G68">
        <v>8.6677801890603945</v>
      </c>
      <c r="I68">
        <v>58.210608613785702</v>
      </c>
      <c r="J68">
        <v>1405259</v>
      </c>
      <c r="L68">
        <v>1620982550.5430901</v>
      </c>
      <c r="N68">
        <v>3.09153008460998</v>
      </c>
    </row>
    <row r="69" spans="1:14">
      <c r="A69" t="s">
        <v>311</v>
      </c>
      <c r="B69">
        <v>-24472</v>
      </c>
      <c r="C69">
        <v>1059185.5883654561</v>
      </c>
      <c r="D69">
        <v>861199.96832311933</v>
      </c>
      <c r="E69">
        <v>11377.775743109876</v>
      </c>
      <c r="G69">
        <v>8.4093932276693923</v>
      </c>
      <c r="I69">
        <v>58.546363404355503</v>
      </c>
      <c r="J69">
        <v>1391722</v>
      </c>
      <c r="L69">
        <v>1710279512.4809101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2026-01-13T08:34:22Z</dcterms:created>
  <dcterms:modified xsi:type="dcterms:W3CDTF">2026-02-05T10:57:40Z</dcterms:modified>
</cp:coreProperties>
</file>